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 Packing Inputs" sheetId="1" state="visible" r:id="rId3"/>
    <sheet name="Overview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<sst xmlns="http://schemas.openxmlformats.org/spreadsheetml/2006/main" count="214" uniqueCount="146">
  <si>
    <t xml:space="preserve">Category</t>
  </si>
  <si>
    <t xml:space="preserve">Project Details</t>
  </si>
  <si>
    <t xml:space="preserve">Project Costs</t>
  </si>
  <si>
    <t xml:space="preserve">Overeage Req</t>
  </si>
  <si>
    <t xml:space="preserve">Customer Project Overview</t>
  </si>
  <si>
    <t xml:space="preserve">Inputs (landed)</t>
  </si>
  <si>
    <t xml:space="preserve">Raw Material</t>
  </si>
  <si>
    <t xml:space="preserve">Packout 1 - Inners/ case</t>
  </si>
  <si>
    <t xml:space="preserve">Inputs</t>
  </si>
  <si>
    <t xml:space="preserve">Packout 2 - Shippers/ Outers</t>
  </si>
  <si>
    <t xml:space="preserve">Packout 3  - Pallet</t>
  </si>
  <si>
    <t xml:space="preserve">Packaging Type 1 - Individual Units</t>
  </si>
  <si>
    <t xml:space="preserve">4oz Sachets</t>
  </si>
  <si>
    <t xml:space="preserve">Overrage Rate (%)</t>
  </si>
  <si>
    <t xml:space="preserve">Outbound fee per/ pallet</t>
  </si>
  <si>
    <t xml:space="preserve">Packaging Type 2 - Final Kit Units</t>
  </si>
  <si>
    <t xml:space="preserve">4oz Tins</t>
  </si>
  <si>
    <t xml:space="preserve">Intake fee per/ pallet</t>
  </si>
  <si>
    <t xml:space="preserve">Wage Rate</t>
  </si>
  <si>
    <t xml:space="preserve">Approx # of Pallets (if known)</t>
  </si>
  <si>
    <t xml:space="preserve"># of Units  - Items per/ kit (packaging type 1) </t>
  </si>
  <si>
    <t xml:space="preserve"># of Pallets</t>
  </si>
  <si>
    <t xml:space="preserve">Unit fill rate per/ min</t>
  </si>
  <si>
    <t xml:space="preserve">Units per/ min</t>
  </si>
  <si>
    <t xml:space="preserve"># of Units  - Final Kit (packaging type 2)</t>
  </si>
  <si>
    <t xml:space="preserve"># of Product SKUs</t>
  </si>
  <si>
    <t xml:space="preserve">Inners - Cost per/ inner</t>
  </si>
  <si>
    <t xml:space="preserve">Shipper - Cost per/ shipper</t>
  </si>
  <si>
    <t xml:space="preserve">Unit size per/ ea (g)</t>
  </si>
  <si>
    <t xml:space="preserve">Testing fee per/ sku</t>
  </si>
  <si>
    <t xml:space="preserve">Label print - Cost per/ unit</t>
  </si>
  <si>
    <t xml:space="preserve">Label Print Cost/ unit</t>
  </si>
  <si>
    <t xml:space="preserve">Carton Weight (g)</t>
  </si>
  <si>
    <t xml:space="preserve">Units per/ Inner (case pack)</t>
  </si>
  <si>
    <t xml:space="preserve">Raw Material SKUs</t>
  </si>
  <si>
    <t xml:space="preserve">Label apply rate per/ min</t>
  </si>
  <si>
    <t xml:space="preserve">Tab Cost/ unit</t>
  </si>
  <si>
    <t xml:space="preserve"># of staff/ stations</t>
  </si>
  <si>
    <t xml:space="preserve">Inners per/ Master</t>
  </si>
  <si>
    <t xml:space="preserve">Cost per/ gram</t>
  </si>
  <si>
    <t xml:space="preserve">Packagingt Weight (g)</t>
  </si>
  <si>
    <t xml:space="preserve">Tab apply unit per/ min</t>
  </si>
  <si>
    <t xml:space="preserve">Hrs per/ shift</t>
  </si>
  <si>
    <t xml:space="preserve">Project / Line Setup + QA Fee</t>
  </si>
  <si>
    <t xml:space="preserve">Left Over Inventory Cost </t>
  </si>
  <si>
    <t xml:space="preserve">Packaging  Weight (g)</t>
  </si>
  <si>
    <t xml:space="preserve">Working Days (# of days)</t>
  </si>
  <si>
    <t xml:space="preserve">Unit of measurment</t>
  </si>
  <si>
    <t xml:space="preserve">g</t>
  </si>
  <si>
    <t xml:space="preserve">Left Over Inventory Absorb %</t>
  </si>
  <si>
    <t xml:space="preserve">PPU Denominator **</t>
  </si>
  <si>
    <t xml:space="preserve">Outputs</t>
  </si>
  <si>
    <t xml:space="preserve">Mark Up - Raw</t>
  </si>
  <si>
    <t xml:space="preserve">Mark Up - Units</t>
  </si>
  <si>
    <t xml:space="preserve">Mark Up % - Inners</t>
  </si>
  <si>
    <t xml:space="preserve">Efficiency buffer (%)</t>
  </si>
  <si>
    <t xml:space="preserve">Testing Fee</t>
  </si>
  <si>
    <t xml:space="preserve">Labor cost</t>
  </si>
  <si>
    <t xml:space="preserve">Labor cost (%)</t>
  </si>
  <si>
    <t xml:space="preserve">Added Pallets (Buffer)</t>
  </si>
  <si>
    <t xml:space="preserve">Total Grams Req (g)</t>
  </si>
  <si>
    <t xml:space="preserve">Total Inners (Inners/ CDUs/ SRDs/ Cases)</t>
  </si>
  <si>
    <t xml:space="preserve">Total Masters/ Shippers</t>
  </si>
  <si>
    <t xml:space="preserve">Project / Line Setup + QA - Our Cost</t>
  </si>
  <si>
    <t xml:space="preserve">Lead Time - Days</t>
  </si>
  <si>
    <t xml:space="preserve">Lead Time - Weeks</t>
  </si>
  <si>
    <t xml:space="preserve">Added Lead Time (design/ materials)</t>
  </si>
  <si>
    <t xml:space="preserve">Req Lead Time Buffer (added)</t>
  </si>
  <si>
    <t xml:space="preserve">Materials - Req (g)</t>
  </si>
  <si>
    <t xml:space="preserve">Inners - Packs Req</t>
  </si>
  <si>
    <t xml:space="preserve">Shippers - Packs Req</t>
  </si>
  <si>
    <t xml:space="preserve">Total Weight of Project (g)</t>
  </si>
  <si>
    <t xml:space="preserve">Materials - Req (oz)</t>
  </si>
  <si>
    <t xml:space="preserve">Inners - per/ min</t>
  </si>
  <si>
    <t xml:space="preserve">Shippers - per/ min</t>
  </si>
  <si>
    <t xml:space="preserve">Total Weight of Project (lbs)</t>
  </si>
  <si>
    <t xml:space="preserve">Materials - Req (lbs)</t>
  </si>
  <si>
    <t xml:space="preserve">Inners - per/ hr</t>
  </si>
  <si>
    <t xml:space="preserve">Shippers - per/ hr</t>
  </si>
  <si>
    <t xml:space="preserve">Pallets - # of Pallets</t>
  </si>
  <si>
    <t xml:space="preserve">Lead Time (days)</t>
  </si>
  <si>
    <t xml:space="preserve">Materials - # of SKUs</t>
  </si>
  <si>
    <t xml:space="preserve">Inners - Total hrs req</t>
  </si>
  <si>
    <t xml:space="preserve">Shippers - Total hrs req</t>
  </si>
  <si>
    <t xml:space="preserve">Lead Time (weeks)</t>
  </si>
  <si>
    <t xml:space="preserve">Materials - # of pallets</t>
  </si>
  <si>
    <t xml:space="preserve">Inners - Total min req</t>
  </si>
  <si>
    <t xml:space="preserve">Shippers - Total min req</t>
  </si>
  <si>
    <t xml:space="preserve">Materials - Intake fee per/ pallet</t>
  </si>
  <si>
    <t xml:space="preserve">Inners - cost/ per min</t>
  </si>
  <si>
    <t xml:space="preserve">Shippers - cost/ per min</t>
  </si>
  <si>
    <t xml:space="preserve">Project Completion Dates</t>
  </si>
  <si>
    <t xml:space="preserve">Dates</t>
  </si>
  <si>
    <t xml:space="preserve">Materials - Testing fee per/ sku</t>
  </si>
  <si>
    <t xml:space="preserve">Inners - Labor Cost</t>
  </si>
  <si>
    <t xml:space="preserve">Shippers - Labor Cost</t>
  </si>
  <si>
    <t xml:space="preserve">Total Outers/ Master Shippers</t>
  </si>
  <si>
    <t xml:space="preserve">Start Date</t>
  </si>
  <si>
    <t xml:space="preserve">Materials - Cost per/ gram</t>
  </si>
  <si>
    <t xml:space="preserve">Pallets - Outbound fee/ pallet</t>
  </si>
  <si>
    <t xml:space="preserve">End Date</t>
  </si>
  <si>
    <t xml:space="preserve">Materials - Total Weight</t>
  </si>
  <si>
    <t xml:space="preserve">Inners - Total Inner weight (g)</t>
  </si>
  <si>
    <t xml:space="preserve">Shipper - Total shipper weight (g)</t>
  </si>
  <si>
    <t xml:space="preserve">Pallets - Total Fees</t>
  </si>
  <si>
    <t xml:space="preserve">Pallets - Lead Time (days)</t>
  </si>
  <si>
    <t xml:space="preserve">Inners - Lead Time (days)</t>
  </si>
  <si>
    <t xml:space="preserve">Shippers - Lead Time (days)</t>
  </si>
  <si>
    <t xml:space="preserve">Conversion Calculator - $$</t>
  </si>
  <si>
    <t xml:space="preserve">Input</t>
  </si>
  <si>
    <t xml:space="preserve">Pallets - Lead Time (weeks)</t>
  </si>
  <si>
    <t xml:space="preserve">Inners - Lead Time (weeks)</t>
  </si>
  <si>
    <t xml:space="preserve">Shippers - Lead Time (weeks)</t>
  </si>
  <si>
    <t xml:space="preserve">Landed Price per/ lb (1 lb)</t>
  </si>
  <si>
    <t xml:space="preserve">Landed Price per/ oz</t>
  </si>
  <si>
    <t xml:space="preserve">Landed Price per/ g</t>
  </si>
  <si>
    <t xml:space="preserve">Conversion Calculator - Case Packs</t>
  </si>
  <si>
    <t xml:space="preserve">Units</t>
  </si>
  <si>
    <t xml:space="preserve">Units per/ case pack</t>
  </si>
  <si>
    <t xml:space="preserve">Total Cases</t>
  </si>
  <si>
    <t xml:space="preserve">Total Project Costs</t>
  </si>
  <si>
    <t xml:space="preserve">Customer Price</t>
  </si>
  <si>
    <t xml:space="preserve">Our Costs</t>
  </si>
  <si>
    <t xml:space="preserve">Margin Dollars $$</t>
  </si>
  <si>
    <t xml:space="preserve">Margin %%</t>
  </si>
  <si>
    <t xml:space="preserve">Project / Line Setup + QA</t>
  </si>
  <si>
    <t xml:space="preserve">Material  - Total</t>
  </si>
  <si>
    <t xml:space="preserve">Inners (case packs) - Total</t>
  </si>
  <si>
    <t xml:space="preserve">Master Shippers - Total</t>
  </si>
  <si>
    <t xml:space="preserve">Pallet - Total</t>
  </si>
  <si>
    <t xml:space="preserve">TOTALS</t>
  </si>
  <si>
    <t xml:space="preserve">PPU</t>
  </si>
  <si>
    <t xml:space="preserve">What If</t>
  </si>
  <si>
    <t xml:space="preserve">Output</t>
  </si>
  <si>
    <t xml:space="preserve">Output Margin Dollars $$</t>
  </si>
  <si>
    <t xml:space="preserve">Output Margin %%</t>
  </si>
  <si>
    <t xml:space="preserve">Lowered Sale Price $$</t>
  </si>
  <si>
    <t xml:space="preserve">Totals</t>
  </si>
  <si>
    <t xml:space="preserve">Req'd Intake Qty</t>
  </si>
  <si>
    <t xml:space="preserve">To Be Delivered QTY</t>
  </si>
  <si>
    <t xml:space="preserve">Price</t>
  </si>
  <si>
    <t xml:space="preserve">PPU Costs</t>
  </si>
  <si>
    <t xml:space="preserve">Margin $$</t>
  </si>
  <si>
    <t xml:space="preserve">CUSTOMER FACING PRICE</t>
  </si>
  <si>
    <t xml:space="preserve">ACTUAL TOTALS</t>
  </si>
  <si>
    <t xml:space="preserve">Lead Time (in weeks)</t>
  </si>
</sst>
</file>

<file path=xl/styles.xml><?xml version="1.0" encoding="utf-8"?>
<styleSheet xmlns="http://schemas.openxmlformats.org/spreadsheetml/2006/main">
  <numFmts count="17">
    <numFmt numFmtId="164" formatCode="General"/>
    <numFmt numFmtId="165" formatCode="#,##0"/>
    <numFmt numFmtId="166" formatCode="\$#,##0.00"/>
    <numFmt numFmtId="167" formatCode="0%"/>
    <numFmt numFmtId="168" formatCode="\$#,##0"/>
    <numFmt numFmtId="169" formatCode="0.00"/>
    <numFmt numFmtId="170" formatCode="General"/>
    <numFmt numFmtId="171" formatCode="\$#,##0.000"/>
    <numFmt numFmtId="172" formatCode="#,##0.00"/>
    <numFmt numFmtId="173" formatCode="\$#,##0.0000"/>
    <numFmt numFmtId="174" formatCode="0"/>
    <numFmt numFmtId="175" formatCode="0.00%"/>
    <numFmt numFmtId="176" formatCode="0.0"/>
    <numFmt numFmtId="177" formatCode="#,##0.0"/>
    <numFmt numFmtId="178" formatCode="m/d/yyyy"/>
    <numFmt numFmtId="179" formatCode="\$#,##0.0"/>
    <numFmt numFmtId="180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ptos Narrow"/>
      <family val="2"/>
      <charset val="1"/>
    </font>
    <font>
      <sz val="11"/>
      <color theme="1"/>
      <name val="Aptos Narrow"/>
      <family val="2"/>
      <charset val="1"/>
    </font>
    <font>
      <b val="true"/>
      <sz val="11"/>
      <color rgb="FFFF0000"/>
      <name val="Aptos Narrow"/>
      <family val="2"/>
      <charset val="1"/>
    </font>
    <font>
      <b val="true"/>
      <i val="true"/>
      <sz val="11"/>
      <color theme="1"/>
      <name val="Aptos Narrow"/>
      <family val="2"/>
      <charset val="1"/>
    </font>
    <font>
      <i val="true"/>
      <sz val="11"/>
      <color theme="1"/>
      <name val="Aptos Narrow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theme="5" tint="0.7999"/>
        <bgColor rgb="FFE6E0EC"/>
      </patternFill>
    </fill>
    <fill>
      <patternFill patternType="solid">
        <fgColor theme="8" tint="0.7999"/>
        <bgColor rgb="FFE3ECF8"/>
      </patternFill>
    </fill>
    <fill>
      <patternFill patternType="solid">
        <fgColor rgb="FFFFFF00"/>
        <bgColor rgb="FFFFFF00"/>
      </patternFill>
    </fill>
    <fill>
      <patternFill patternType="solid">
        <fgColor theme="7" tint="0.7999"/>
        <bgColor rgb="FFF2DCDB"/>
      </patternFill>
    </fill>
    <fill>
      <patternFill patternType="solid">
        <fgColor theme="9" tint="0.7999"/>
        <bgColor rgb="FFF2DCDB"/>
      </patternFill>
    </fill>
    <fill>
      <patternFill patternType="solid">
        <fgColor theme="3" tint="0.8999"/>
        <bgColor rgb="FFDBEEF4"/>
      </patternFill>
    </fill>
  </fills>
  <borders count="17">
    <border diagonalUp="false" diagonalDown="false">
      <left/>
      <right/>
      <top/>
      <bottom/>
      <diagonal/>
    </border>
    <border diagonalUp="false" diagonalDown="false">
      <left/>
      <right/>
      <top/>
      <bottom style="double"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/>
      <top style="medium"/>
      <bottom style="double"/>
      <diagonal/>
    </border>
    <border diagonalUp="false" diagonalDown="false">
      <left/>
      <right style="medium"/>
      <top style="medium"/>
      <bottom style="double"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/>
      <right/>
      <top style="double"/>
      <bottom style="medium"/>
      <diagonal/>
    </border>
    <border diagonalUp="false" diagonalDown="false">
      <left/>
      <right style="medium"/>
      <top/>
      <bottom style="double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5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5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5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5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5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5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5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4" fontId="5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5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4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5" fillId="4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5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5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6" fontId="5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5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7" fontId="5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5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5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8" fontId="5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5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5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6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9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5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0" fontId="5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9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0" fontId="5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4" fillId="6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0" fontId="4" fillId="6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4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0" fontId="5" fillId="2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0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6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6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5" fontId="5" fillId="6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6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5" fontId="5" fillId="6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6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5" fontId="4" fillId="6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6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5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5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7" fillId="0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7" fillId="5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5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DEADA"/>
      <rgbColor rgb="FFDBEEF4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3ECF8"/>
      <rgbColor rgb="FFCCFFCC"/>
      <rgbColor rgb="FFFFFF99"/>
      <rgbColor rgb="FF99CCFF"/>
      <rgbColor rgb="FFFF99CC"/>
      <rgbColor rgb="FFCC99FF"/>
      <rgbColor rgb="FFF2DC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Z6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1"/>
    <col collapsed="false" customWidth="true" hidden="false" outlineLevel="0" max="3" min="3" style="0" width="14"/>
    <col collapsed="false" customWidth="true" hidden="false" outlineLevel="0" max="4" min="4" style="0" width="17.15"/>
    <col collapsed="false" customWidth="true" hidden="false" outlineLevel="0" max="5" min="5" style="0" width="12.29"/>
    <col collapsed="false" customWidth="true" hidden="false" outlineLevel="0" max="6" min="6" style="0" width="3.57"/>
    <col collapsed="false" customWidth="true" hidden="false" outlineLevel="0" max="7" min="7" style="0" width="38.57"/>
    <col collapsed="false" customWidth="true" hidden="false" outlineLevel="0" max="8" min="8" style="0" width="16.29"/>
    <col collapsed="false" customWidth="true" hidden="false" outlineLevel="0" max="9" min="9" style="0" width="2.71"/>
    <col collapsed="false" customWidth="true" hidden="false" outlineLevel="0" max="10" min="10" style="0" width="30.71"/>
    <col collapsed="false" customWidth="true" hidden="false" outlineLevel="0" max="11" min="11" style="0" width="13.71"/>
    <col collapsed="false" customWidth="true" hidden="false" outlineLevel="0" max="12" min="12" style="0" width="2.57"/>
    <col collapsed="false" customWidth="true" hidden="false" outlineLevel="0" max="13" min="13" style="0" width="32"/>
    <col collapsed="false" customWidth="true" hidden="false" outlineLevel="0" max="14" min="14" style="0" width="13.71"/>
    <col collapsed="false" customWidth="true" hidden="false" outlineLevel="0" max="15" min="15" style="0" width="2"/>
    <col collapsed="false" customWidth="true" hidden="false" outlineLevel="0" max="16" min="16" style="0" width="30.71"/>
    <col collapsed="false" customWidth="true" hidden="false" outlineLevel="0" max="17" min="17" style="0" width="13.71"/>
    <col collapsed="false" customWidth="true" hidden="false" outlineLevel="0" max="18" min="18" style="0" width="2.29"/>
    <col collapsed="false" customWidth="true" hidden="false" outlineLevel="0" max="19" min="19" style="0" width="27.15"/>
    <col collapsed="false" customWidth="true" hidden="false" outlineLevel="0" max="20" min="20" style="0" width="7.71"/>
    <col collapsed="false" customWidth="true" hidden="false" outlineLevel="0" max="21" min="21" style="0" width="2.42"/>
    <col collapsed="false" customWidth="true" hidden="false" outlineLevel="0" max="22" min="22" style="0" width="30.57"/>
    <col collapsed="false" customWidth="true" hidden="false" outlineLevel="0" max="23" min="23" style="0" width="7.71"/>
    <col collapsed="false" customWidth="true" hidden="false" outlineLevel="0" max="24" min="24" style="0" width="2.15"/>
    <col collapsed="false" customWidth="true" hidden="false" outlineLevel="0" max="25" min="25" style="0" width="27.15"/>
    <col collapsed="false" customWidth="true" hidden="false" outlineLevel="0" max="26" min="26" style="0" width="9.86"/>
  </cols>
  <sheetData>
    <row r="2" customFormat="false" ht="15.75" hidden="false" customHeight="true" outlineLevel="0" collapsed="false">
      <c r="B2" s="1" t="s">
        <v>0</v>
      </c>
      <c r="C2" s="2" t="s">
        <v>1</v>
      </c>
      <c r="D2" s="3" t="s">
        <v>2</v>
      </c>
      <c r="E2" s="4" t="s">
        <v>3</v>
      </c>
      <c r="G2" s="1" t="s">
        <v>4</v>
      </c>
      <c r="H2" s="4" t="s">
        <v>5</v>
      </c>
      <c r="J2" s="1" t="s">
        <v>6</v>
      </c>
      <c r="K2" s="4" t="s">
        <v>5</v>
      </c>
      <c r="M2" s="1" t="str">
        <f aca="false">M26</f>
        <v>4oz Sachets - Packaging 1</v>
      </c>
      <c r="N2" s="4" t="s">
        <v>5</v>
      </c>
      <c r="P2" s="1" t="str">
        <f aca="false">IF(H$4="","-",H$4 &amp; " - Packaging 2")</f>
        <v>4oz Tins - Packaging 2</v>
      </c>
      <c r="Q2" s="4" t="s">
        <v>5</v>
      </c>
      <c r="S2" s="1" t="s">
        <v>7</v>
      </c>
      <c r="T2" s="4" t="s">
        <v>8</v>
      </c>
      <c r="V2" s="1" t="s">
        <v>9</v>
      </c>
      <c r="W2" s="4" t="s">
        <v>8</v>
      </c>
      <c r="Y2" s="1" t="s">
        <v>10</v>
      </c>
      <c r="Z2" s="4" t="s">
        <v>8</v>
      </c>
    </row>
    <row r="3" customFormat="false" ht="15.75" hidden="false" customHeight="true" outlineLevel="0" collapsed="false">
      <c r="B3" s="0" t="str">
        <f aca="false">J27</f>
        <v>Materials - Req (g)</v>
      </c>
      <c r="C3" s="5" t="n">
        <f aca="false">K27</f>
        <v>935550</v>
      </c>
      <c r="D3" s="6"/>
      <c r="E3" s="7" t="n">
        <f aca="false">K3</f>
        <v>0.25</v>
      </c>
      <c r="G3" s="8" t="s">
        <v>11</v>
      </c>
      <c r="H3" s="9" t="s">
        <v>12</v>
      </c>
      <c r="J3" s="8" t="s">
        <v>13</v>
      </c>
      <c r="K3" s="10" t="n">
        <v>0.25</v>
      </c>
      <c r="M3" s="8" t="s">
        <v>13</v>
      </c>
      <c r="N3" s="10" t="n">
        <v>0.15</v>
      </c>
      <c r="P3" s="8" t="s">
        <v>13</v>
      </c>
      <c r="Q3" s="10" t="n">
        <v>0.03</v>
      </c>
      <c r="S3" s="8" t="s">
        <v>13</v>
      </c>
      <c r="T3" s="10" t="n">
        <v>0.02</v>
      </c>
      <c r="V3" s="8" t="s">
        <v>13</v>
      </c>
      <c r="W3" s="10" t="n">
        <v>0.01</v>
      </c>
      <c r="Y3" s="8" t="s">
        <v>14</v>
      </c>
      <c r="Z3" s="11" t="n">
        <v>350</v>
      </c>
    </row>
    <row r="4" customFormat="false" ht="15" hidden="false" customHeight="false" outlineLevel="0" collapsed="false">
      <c r="B4" s="0" t="str">
        <f aca="false">J28</f>
        <v>Materials - Req (oz)</v>
      </c>
      <c r="C4" s="5" t="n">
        <f aca="false">K28</f>
        <v>33000.55510193</v>
      </c>
      <c r="D4" s="6"/>
      <c r="E4" s="7"/>
      <c r="G4" s="8" t="s">
        <v>15</v>
      </c>
      <c r="H4" s="9" t="s">
        <v>16</v>
      </c>
      <c r="J4" s="8" t="s">
        <v>17</v>
      </c>
      <c r="K4" s="12" t="n">
        <v>195</v>
      </c>
      <c r="M4" s="8" t="s">
        <v>18</v>
      </c>
      <c r="N4" s="12" t="n">
        <v>26</v>
      </c>
      <c r="P4" s="8" t="s">
        <v>18</v>
      </c>
      <c r="Q4" s="12" t="n">
        <v>26</v>
      </c>
      <c r="S4" s="8" t="s">
        <v>18</v>
      </c>
      <c r="T4" s="12" t="n">
        <v>26</v>
      </c>
      <c r="V4" s="8" t="s">
        <v>18</v>
      </c>
      <c r="W4" s="12" t="n">
        <v>26</v>
      </c>
      <c r="Y4" s="8" t="s">
        <v>19</v>
      </c>
      <c r="Z4" s="9"/>
    </row>
    <row r="5" customFormat="false" ht="15" hidden="false" customHeight="false" outlineLevel="0" collapsed="false">
      <c r="B5" s="0" t="str">
        <f aca="false">J29</f>
        <v>Materials - Req (lbs)</v>
      </c>
      <c r="C5" s="5" t="n">
        <f aca="false">K29</f>
        <v>2062.53469387062</v>
      </c>
      <c r="D5" s="6" t="n">
        <f aca="false">K27*K9</f>
        <v>8632.66887417219</v>
      </c>
      <c r="E5" s="7"/>
      <c r="G5" s="8" t="s">
        <v>20</v>
      </c>
      <c r="H5" s="13" t="n">
        <v>6600</v>
      </c>
      <c r="J5" s="8" t="s">
        <v>21</v>
      </c>
      <c r="K5" s="9" t="n">
        <v>1</v>
      </c>
      <c r="M5" s="8" t="s">
        <v>22</v>
      </c>
      <c r="N5" s="14" t="n">
        <v>12</v>
      </c>
      <c r="P5" s="8" t="s">
        <v>23</v>
      </c>
      <c r="Q5" s="9" t="n">
        <v>15</v>
      </c>
      <c r="S5" s="8" t="s">
        <v>23</v>
      </c>
      <c r="T5" s="9" t="n">
        <v>1</v>
      </c>
      <c r="V5" s="8" t="s">
        <v>23</v>
      </c>
      <c r="W5" s="9" t="n">
        <v>1</v>
      </c>
    </row>
    <row r="6" customFormat="false" ht="15" hidden="false" customHeight="false" outlineLevel="0" collapsed="false">
      <c r="B6" s="0" t="str">
        <f aca="false">J30</f>
        <v>Materials - # of SKUs</v>
      </c>
      <c r="C6" s="15" t="n">
        <f aca="false">K30</f>
        <v>1</v>
      </c>
      <c r="D6" s="16"/>
      <c r="G6" s="8" t="s">
        <v>24</v>
      </c>
      <c r="H6" s="13" t="n">
        <v>6600</v>
      </c>
      <c r="J6" s="8" t="s">
        <v>25</v>
      </c>
      <c r="K6" s="9" t="n">
        <v>1</v>
      </c>
      <c r="M6" s="0" t="str">
        <f aca="false">IF(H$3="","",H$3 &amp; " - Cost per/ unit")</f>
        <v>4oz Sachets - Cost per/ unit</v>
      </c>
      <c r="N6" s="17" t="n">
        <v>0.035</v>
      </c>
      <c r="P6" s="0" t="str">
        <f aca="false">IF(H$4="","-",H$4 &amp; " - Cost per/ unit")</f>
        <v>4oz Tins - Cost per/ unit</v>
      </c>
      <c r="Q6" s="17" t="n">
        <v>0.55</v>
      </c>
      <c r="S6" s="8" t="s">
        <v>26</v>
      </c>
      <c r="T6" s="17" t="n">
        <v>0.2</v>
      </c>
      <c r="V6" s="8" t="s">
        <v>27</v>
      </c>
      <c r="W6" s="17" t="n">
        <v>0.2</v>
      </c>
    </row>
    <row r="7" customFormat="false" ht="15" hidden="false" customHeight="false" outlineLevel="0" collapsed="false">
      <c r="B7" s="0" t="str">
        <f aca="false">J31</f>
        <v>Materials - # of pallets</v>
      </c>
      <c r="C7" s="15" t="n">
        <f aca="false">K31</f>
        <v>1</v>
      </c>
      <c r="D7" s="16"/>
      <c r="G7" s="8" t="s">
        <v>28</v>
      </c>
      <c r="H7" s="18" t="n">
        <v>113.4</v>
      </c>
      <c r="J7" s="8" t="s">
        <v>29</v>
      </c>
      <c r="K7" s="12" t="n">
        <v>350</v>
      </c>
      <c r="M7" s="8" t="s">
        <v>30</v>
      </c>
      <c r="N7" s="17" t="n">
        <v>0</v>
      </c>
      <c r="P7" s="8" t="s">
        <v>31</v>
      </c>
      <c r="Q7" s="17" t="n">
        <v>0.2</v>
      </c>
      <c r="S7" s="8" t="s">
        <v>32</v>
      </c>
      <c r="T7" s="14" t="n">
        <v>454</v>
      </c>
      <c r="V7" s="8" t="s">
        <v>32</v>
      </c>
      <c r="W7" s="14" t="n">
        <v>454</v>
      </c>
    </row>
    <row r="8" customFormat="false" ht="15" hidden="false" customHeight="false" outlineLevel="0" collapsed="false">
      <c r="B8" s="0" t="str">
        <f aca="false">J32</f>
        <v>Materials - Intake fee per/ pallet</v>
      </c>
      <c r="C8" s="19" t="n">
        <f aca="false">K32</f>
        <v>243.75</v>
      </c>
      <c r="D8" s="6" t="n">
        <f aca="false">K4*K5</f>
        <v>195</v>
      </c>
      <c r="G8" s="8" t="s">
        <v>33</v>
      </c>
      <c r="H8" s="13" t="n">
        <v>24</v>
      </c>
      <c r="J8" s="8" t="s">
        <v>34</v>
      </c>
      <c r="K8" s="9" t="n">
        <v>1</v>
      </c>
      <c r="M8" s="8" t="s">
        <v>35</v>
      </c>
      <c r="N8" s="9" t="n">
        <v>0</v>
      </c>
      <c r="P8" s="8" t="s">
        <v>36</v>
      </c>
      <c r="Q8" s="17" t="n">
        <v>0</v>
      </c>
      <c r="S8" s="8" t="s">
        <v>37</v>
      </c>
      <c r="T8" s="9" t="n">
        <v>1</v>
      </c>
      <c r="V8" s="8" t="s">
        <v>37</v>
      </c>
      <c r="W8" s="9" t="n">
        <v>1</v>
      </c>
    </row>
    <row r="9" customFormat="false" ht="15.75" hidden="false" customHeight="true" outlineLevel="0" collapsed="false">
      <c r="B9" s="0" t="str">
        <f aca="false">J33</f>
        <v>Materials - Testing fee per/ sku</v>
      </c>
      <c r="C9" s="19" t="n">
        <f aca="false">K33</f>
        <v>455</v>
      </c>
      <c r="D9" s="6" t="n">
        <f aca="false">K7*K8</f>
        <v>350</v>
      </c>
      <c r="G9" s="8" t="s">
        <v>38</v>
      </c>
      <c r="H9" s="13" t="n">
        <v>0</v>
      </c>
      <c r="J9" s="8" t="s">
        <v>39</v>
      </c>
      <c r="K9" s="20" t="n">
        <v>0.00922737306843267</v>
      </c>
      <c r="M9" s="8" t="s">
        <v>40</v>
      </c>
      <c r="N9" s="14" t="n">
        <v>1.6</v>
      </c>
      <c r="P9" s="8" t="s">
        <v>41</v>
      </c>
      <c r="Q9" s="21" t="n">
        <v>0</v>
      </c>
      <c r="S9" s="8" t="s">
        <v>42</v>
      </c>
      <c r="T9" s="9" t="n">
        <v>7.3</v>
      </c>
      <c r="V9" s="8" t="s">
        <v>42</v>
      </c>
      <c r="W9" s="9" t="n">
        <v>7.3</v>
      </c>
    </row>
    <row r="10" customFormat="false" ht="15.75" hidden="false" customHeight="true" outlineLevel="0" collapsed="false">
      <c r="B10" s="22" t="str">
        <f aca="false">J34</f>
        <v>Materials - Cost per/ gram</v>
      </c>
      <c r="C10" s="23" t="n">
        <f aca="false">K34*K27</f>
        <v>34530.6754966887</v>
      </c>
      <c r="D10" s="24" t="n">
        <f aca="false">K9*K27</f>
        <v>8632.66887417219</v>
      </c>
      <c r="E10" s="25"/>
      <c r="G10" s="8" t="s">
        <v>43</v>
      </c>
      <c r="H10" s="12" t="n">
        <v>1495</v>
      </c>
      <c r="J10" s="26" t="s">
        <v>44</v>
      </c>
      <c r="K10" s="27" t="n">
        <v>0</v>
      </c>
      <c r="M10" s="8" t="s">
        <v>37</v>
      </c>
      <c r="N10" s="9" t="n">
        <v>5</v>
      </c>
      <c r="P10" s="8" t="s">
        <v>45</v>
      </c>
      <c r="Q10" s="14" t="n">
        <v>71</v>
      </c>
      <c r="S10" s="8" t="s">
        <v>46</v>
      </c>
      <c r="T10" s="9" t="n">
        <v>5</v>
      </c>
      <c r="V10" s="8" t="s">
        <v>46</v>
      </c>
      <c r="W10" s="9" t="n">
        <v>5</v>
      </c>
    </row>
    <row r="11" customFormat="false" ht="15.75" hidden="false" customHeight="true" outlineLevel="0" collapsed="false">
      <c r="B11" s="0" t="str">
        <f aca="false">M27</f>
        <v>4oz Sachets - Units Req</v>
      </c>
      <c r="C11" s="5" t="n">
        <f aca="false">N27</f>
        <v>7590</v>
      </c>
      <c r="D11" s="16"/>
      <c r="E11" s="7" t="n">
        <f aca="false">N3</f>
        <v>0.15</v>
      </c>
      <c r="G11" s="8" t="s">
        <v>47</v>
      </c>
      <c r="H11" s="9" t="s">
        <v>48</v>
      </c>
      <c r="J11" s="28" t="s">
        <v>49</v>
      </c>
      <c r="K11" s="29" t="n">
        <v>0</v>
      </c>
      <c r="M11" s="8" t="s">
        <v>42</v>
      </c>
      <c r="N11" s="9" t="n">
        <v>7.3</v>
      </c>
      <c r="P11" s="8" t="s">
        <v>37</v>
      </c>
      <c r="Q11" s="9" t="n">
        <v>3</v>
      </c>
    </row>
    <row r="12" customFormat="false" ht="15.75" hidden="false" customHeight="true" outlineLevel="0" collapsed="false">
      <c r="B12" s="0" t="str">
        <f aca="false">M28</f>
        <v>4oz Sachets -  per/ min</v>
      </c>
      <c r="C12" s="5" t="n">
        <f aca="false">N28</f>
        <v>9.6</v>
      </c>
      <c r="D12" s="16"/>
      <c r="G12" s="30" t="s">
        <v>50</v>
      </c>
      <c r="H12" s="31" t="n">
        <v>6600</v>
      </c>
      <c r="M12" s="8" t="s">
        <v>46</v>
      </c>
      <c r="N12" s="9" t="n">
        <v>5.5</v>
      </c>
      <c r="P12" s="8" t="s">
        <v>42</v>
      </c>
      <c r="Q12" s="9" t="n">
        <v>7.3</v>
      </c>
    </row>
    <row r="13" customFormat="false" ht="15" hidden="false" customHeight="false" outlineLevel="0" collapsed="false">
      <c r="B13" s="0" t="str">
        <f aca="false">M29</f>
        <v>4oz Sachets - per/ hr</v>
      </c>
      <c r="C13" s="5" t="n">
        <f aca="false">N29</f>
        <v>576</v>
      </c>
      <c r="D13" s="16"/>
      <c r="P13" s="8" t="s">
        <v>46</v>
      </c>
      <c r="Q13" s="9" t="n">
        <v>5</v>
      </c>
    </row>
    <row r="14" customFormat="false" ht="15" hidden="false" customHeight="false" outlineLevel="0" collapsed="false">
      <c r="B14" s="0" t="str">
        <f aca="false">M30</f>
        <v>4oz Sachets - Total hrs req</v>
      </c>
      <c r="C14" s="5" t="n">
        <f aca="false">N30</f>
        <v>13.1770833333333</v>
      </c>
      <c r="D14" s="16"/>
    </row>
    <row r="15" customFormat="false" ht="15" hidden="false" customHeight="false" outlineLevel="0" collapsed="false">
      <c r="B15" s="0" t="str">
        <f aca="false">M31</f>
        <v>4oz Sachets - Total min req</v>
      </c>
      <c r="C15" s="5" t="n">
        <f aca="false">N31</f>
        <v>790.625</v>
      </c>
      <c r="D15" s="16"/>
    </row>
    <row r="16" customFormat="false" ht="15.75" hidden="false" customHeight="true" outlineLevel="0" collapsed="false">
      <c r="B16" s="0" t="str">
        <f aca="false">M32</f>
        <v>4oz Sachets - cost/ per min</v>
      </c>
      <c r="C16" s="19" t="n">
        <f aca="false">N32</f>
        <v>0.585</v>
      </c>
      <c r="D16" s="16"/>
      <c r="G16" s="1" t="s">
        <v>4</v>
      </c>
      <c r="H16" s="4" t="s">
        <v>51</v>
      </c>
      <c r="J16" s="1" t="s">
        <v>52</v>
      </c>
      <c r="K16" s="4" t="s">
        <v>8</v>
      </c>
      <c r="M16" s="1" t="s">
        <v>53</v>
      </c>
      <c r="N16" s="4" t="s">
        <v>8</v>
      </c>
      <c r="P16" s="1" t="s">
        <v>53</v>
      </c>
      <c r="Q16" s="4" t="s">
        <v>8</v>
      </c>
      <c r="S16" s="1" t="s">
        <v>54</v>
      </c>
      <c r="T16" s="4" t="s">
        <v>8</v>
      </c>
      <c r="V16" s="1" t="s">
        <v>54</v>
      </c>
      <c r="W16" s="4" t="s">
        <v>8</v>
      </c>
      <c r="Y16" s="1" t="s">
        <v>54</v>
      </c>
      <c r="Z16" s="4" t="s">
        <v>8</v>
      </c>
    </row>
    <row r="17" customFormat="false" ht="15.75" hidden="false" customHeight="true" outlineLevel="0" collapsed="false">
      <c r="B17" s="0" t="str">
        <f aca="false">M33</f>
        <v>4oz Sachets - Total labor</v>
      </c>
      <c r="C17" s="19" t="n">
        <f aca="false">N33</f>
        <v>462.515625</v>
      </c>
      <c r="D17" s="6" t="n">
        <f aca="false">N30*N4</f>
        <v>342.604166666667</v>
      </c>
      <c r="G17" s="0" t="str">
        <f aca="false">"Total Kit Units - " &amp; H3</f>
        <v>Total Kit Units - 4oz Sachets</v>
      </c>
      <c r="H17" s="32" t="n">
        <f aca="false">IF(H6&gt;0, H5*H6/H6, H5)</f>
        <v>6600</v>
      </c>
      <c r="J17" s="8" t="s">
        <v>17</v>
      </c>
      <c r="K17" s="10" t="n">
        <v>0.25</v>
      </c>
      <c r="M17" s="8" t="s">
        <v>55</v>
      </c>
      <c r="N17" s="10" t="n">
        <v>0.2</v>
      </c>
      <c r="P17" s="8" t="s">
        <v>55</v>
      </c>
      <c r="Q17" s="10" t="n">
        <v>0.2</v>
      </c>
      <c r="S17" s="8" t="s">
        <v>55</v>
      </c>
      <c r="T17" s="10" t="n">
        <v>0.2</v>
      </c>
      <c r="V17" s="8" t="s">
        <v>55</v>
      </c>
      <c r="W17" s="10" t="n">
        <v>0.25</v>
      </c>
      <c r="Y17" s="8" t="s">
        <v>14</v>
      </c>
      <c r="Z17" s="10" t="n">
        <v>0.4</v>
      </c>
    </row>
    <row r="18" customFormat="false" ht="15.75" hidden="false" customHeight="true" outlineLevel="0" collapsed="false">
      <c r="B18" s="22" t="str">
        <f aca="false">IF(H$3="","",H$3 &amp; " - Total cost")</f>
        <v>4oz Sachets - Total cost</v>
      </c>
      <c r="C18" s="33" t="n">
        <f aca="false">N34*N27</f>
        <v>597.7125</v>
      </c>
      <c r="D18" s="34" t="n">
        <f aca="false">(N6*N27)+(N7*N27)</f>
        <v>265.65</v>
      </c>
      <c r="E18" s="25"/>
      <c r="G18" s="0" t="str">
        <f aca="false">"Total Kit Units - " &amp; H4</f>
        <v>Total Kit Units - 4oz Tins</v>
      </c>
      <c r="H18" s="32" t="n">
        <f aca="false">MAX(H6, 0)</f>
        <v>6600</v>
      </c>
      <c r="J18" s="8" t="s">
        <v>56</v>
      </c>
      <c r="K18" s="10" t="n">
        <v>0.3</v>
      </c>
      <c r="M18" s="8" t="s">
        <v>57</v>
      </c>
      <c r="N18" s="10" t="n">
        <v>0.35</v>
      </c>
      <c r="P18" s="8" t="s">
        <v>57</v>
      </c>
      <c r="Q18" s="10" t="n">
        <v>0.35</v>
      </c>
      <c r="S18" s="8" t="s">
        <v>58</v>
      </c>
      <c r="T18" s="10" t="n">
        <v>0.35</v>
      </c>
      <c r="V18" s="8" t="s">
        <v>58</v>
      </c>
      <c r="W18" s="10" t="n">
        <v>0.35</v>
      </c>
      <c r="Y18" s="8" t="s">
        <v>59</v>
      </c>
      <c r="Z18" s="21" t="n">
        <v>1</v>
      </c>
    </row>
    <row r="19" customFormat="false" ht="15" hidden="false" customHeight="false" outlineLevel="0" collapsed="false">
      <c r="B19" s="0" t="str">
        <f aca="false">P27</f>
        <v>4oz Tins - Units Req</v>
      </c>
      <c r="C19" s="5" t="n">
        <f aca="false">Q27</f>
        <v>6798</v>
      </c>
      <c r="D19" s="16"/>
      <c r="E19" s="7" t="n">
        <f aca="false">Q3</f>
        <v>0.03</v>
      </c>
      <c r="G19" s="8" t="s">
        <v>60</v>
      </c>
      <c r="H19" s="32" t="n">
        <f aca="false">IF(AND(H5&gt;0, H6&gt;0), H5, IF(H5&gt;0, H5, H6)) * H7</f>
        <v>748440</v>
      </c>
      <c r="J19" s="8" t="s">
        <v>39</v>
      </c>
      <c r="K19" s="10" t="n">
        <v>3</v>
      </c>
      <c r="M19" s="0" t="str">
        <f aca="false">IF(H$3="","",H$3 &amp; " - Cost per/ unit")</f>
        <v>4oz Sachets - Cost per/ unit</v>
      </c>
      <c r="N19" s="10" t="n">
        <v>1.25</v>
      </c>
      <c r="P19" s="0" t="str">
        <f aca="false">IF(H$4="","",H$4 &amp; " - Cost per/ unit")</f>
        <v>4oz Tins - Cost per/ unit</v>
      </c>
      <c r="Q19" s="10" t="n">
        <v>1.25</v>
      </c>
      <c r="S19" s="8" t="s">
        <v>26</v>
      </c>
      <c r="T19" s="10" t="n">
        <v>1.25</v>
      </c>
      <c r="V19" s="8" t="s">
        <v>27</v>
      </c>
      <c r="W19" s="10" t="n">
        <v>1.25</v>
      </c>
    </row>
    <row r="20" customFormat="false" ht="15" hidden="false" customHeight="false" outlineLevel="0" collapsed="false">
      <c r="B20" s="0" t="str">
        <f aca="false">P28</f>
        <v>4oz Tins - per/ min</v>
      </c>
      <c r="C20" s="35" t="n">
        <f aca="false">Q28</f>
        <v>12</v>
      </c>
      <c r="D20" s="16"/>
      <c r="G20" s="8" t="s">
        <v>61</v>
      </c>
      <c r="H20" s="32" t="n">
        <f aca="false">IF(OR(H8=0, H8=""), 0, CEILING( IF(H6&gt;0, H6, H5) / H8, 1) )</f>
        <v>275</v>
      </c>
      <c r="N20" s="36"/>
      <c r="Q20" s="36"/>
      <c r="T20" s="36"/>
      <c r="W20" s="36"/>
    </row>
    <row r="21" customFormat="false" ht="15" hidden="false" customHeight="false" outlineLevel="0" collapsed="false">
      <c r="B21" s="0" t="str">
        <f aca="false">P29</f>
        <v>4oz Tins - per/ hr</v>
      </c>
      <c r="C21" s="5" t="n">
        <f aca="false">Q29</f>
        <v>720</v>
      </c>
      <c r="D21" s="37"/>
      <c r="E21" s="38"/>
      <c r="G21" s="8" t="s">
        <v>62</v>
      </c>
      <c r="H21" s="32" t="n">
        <f aca="false">IF(OR(H9&lt;=0, H9=""), 0, CEILING( H20 / H9, 1) )</f>
        <v>0</v>
      </c>
      <c r="N21" s="36"/>
      <c r="Q21" s="36"/>
      <c r="T21" s="36"/>
      <c r="W21" s="36"/>
    </row>
    <row r="22" customFormat="false" ht="15" hidden="false" customHeight="false" outlineLevel="0" collapsed="false">
      <c r="B22" s="0" t="str">
        <f aca="false">P30</f>
        <v>4oz Tins - Total hrs req</v>
      </c>
      <c r="C22" s="5" t="n">
        <f aca="false">Q30</f>
        <v>9.44166666666667</v>
      </c>
      <c r="D22" s="39"/>
      <c r="E22" s="7"/>
      <c r="G22" s="8" t="s">
        <v>63</v>
      </c>
      <c r="H22" s="40" t="n">
        <f aca="false">(H10-(H10*0.6))*K6</f>
        <v>598</v>
      </c>
      <c r="N22" s="36"/>
      <c r="Q22" s="36"/>
      <c r="T22" s="36"/>
      <c r="W22" s="36"/>
    </row>
    <row r="23" customFormat="false" ht="15" hidden="false" customHeight="false" outlineLevel="0" collapsed="false">
      <c r="B23" s="0" t="str">
        <f aca="false">P31</f>
        <v>4oz Tins - Total min req</v>
      </c>
      <c r="C23" s="5" t="n">
        <f aca="false">Q31</f>
        <v>566.5</v>
      </c>
      <c r="D23" s="39"/>
      <c r="E23" s="7"/>
      <c r="G23" s="8" t="s">
        <v>64</v>
      </c>
      <c r="H23" s="41" t="n">
        <f aca="false">SUM(K37,N37,Q37,T37,W37,Z37)</f>
        <v>2.59265601217656</v>
      </c>
      <c r="N23" s="36"/>
      <c r="Q23" s="36"/>
      <c r="T23" s="36"/>
      <c r="W23" s="36"/>
    </row>
    <row r="24" customFormat="false" ht="15" hidden="false" customHeight="false" outlineLevel="0" collapsed="false">
      <c r="B24" s="0" t="str">
        <f aca="false">P32</f>
        <v>4oz Tins - Labor cost/ per min</v>
      </c>
      <c r="C24" s="19" t="n">
        <f aca="false">Q32</f>
        <v>0.585</v>
      </c>
      <c r="D24" s="16"/>
      <c r="G24" s="8" t="s">
        <v>65</v>
      </c>
      <c r="H24" s="41" t="n">
        <f aca="false">H23/5</f>
        <v>0.518531202435312</v>
      </c>
      <c r="N24" s="36"/>
      <c r="Q24" s="36"/>
      <c r="T24" s="36"/>
      <c r="W24" s="36"/>
    </row>
    <row r="25" customFormat="false" ht="15" hidden="false" customHeight="false" outlineLevel="0" collapsed="false">
      <c r="B25" s="0" t="str">
        <f aca="false">P33</f>
        <v>4oz Tins - Total labor</v>
      </c>
      <c r="C25" s="42" t="n">
        <f aca="false">Q33</f>
        <v>331.4025</v>
      </c>
      <c r="D25" s="6" t="n">
        <f aca="false">Q4*Q30</f>
        <v>245.483333333333</v>
      </c>
    </row>
    <row r="26" customFormat="false" ht="15.75" hidden="false" customHeight="true" outlineLevel="0" collapsed="false">
      <c r="B26" s="22" t="str">
        <f aca="false">IF(H$4="","-",H$4 &amp; " - Total cost")</f>
        <v>4oz Tins - Total cost</v>
      </c>
      <c r="C26" s="23" t="n">
        <f aca="false">Q34*Q27</f>
        <v>11471.625</v>
      </c>
      <c r="D26" s="24" t="n">
        <f aca="false">SUM(Q6:Q8)*Q27</f>
        <v>5098.5</v>
      </c>
      <c r="E26" s="25"/>
      <c r="G26" s="1" t="s">
        <v>66</v>
      </c>
      <c r="H26" s="4" t="s">
        <v>8</v>
      </c>
      <c r="J26" s="1" t="s">
        <v>6</v>
      </c>
      <c r="K26" s="4" t="s">
        <v>51</v>
      </c>
      <c r="M26" s="1" t="str">
        <f aca="false">IF(H$3="","-",H$3 &amp; " - Packaging 1")</f>
        <v>4oz Sachets - Packaging 1</v>
      </c>
      <c r="N26" s="4" t="s">
        <v>51</v>
      </c>
      <c r="P26" s="1" t="str">
        <f aca="false">IF(H$4="","-",H$4 &amp; " - Packaging 2")</f>
        <v>4oz Tins - Packaging 2</v>
      </c>
      <c r="Q26" s="4" t="s">
        <v>51</v>
      </c>
      <c r="S26" s="1" t="str">
        <f aca="false">S2</f>
        <v>Packout 1 - Inners/ case</v>
      </c>
      <c r="T26" s="4" t="s">
        <v>51</v>
      </c>
      <c r="V26" s="1" t="str">
        <f aca="false">V2</f>
        <v>Packout 2 - Shippers/ Outers</v>
      </c>
      <c r="W26" s="4" t="s">
        <v>51</v>
      </c>
      <c r="Y26" s="1" t="str">
        <f aca="false">Y2</f>
        <v>Packout 3  - Pallet</v>
      </c>
      <c r="Z26" s="4" t="s">
        <v>51</v>
      </c>
    </row>
    <row r="27" customFormat="false" ht="15" hidden="false" customHeight="false" outlineLevel="0" collapsed="false">
      <c r="B27" s="0" t="str">
        <f aca="false">S27</f>
        <v>Inners - Packs Req</v>
      </c>
      <c r="C27" s="5" t="n">
        <f aca="false">T27</f>
        <v>280.5</v>
      </c>
      <c r="D27" s="39"/>
      <c r="E27" s="7" t="n">
        <f aca="false">T3</f>
        <v>0.02</v>
      </c>
      <c r="G27" s="8" t="s">
        <v>67</v>
      </c>
      <c r="H27" s="21" t="n">
        <v>57</v>
      </c>
      <c r="J27" s="8" t="s">
        <v>68</v>
      </c>
      <c r="K27" s="32" t="n">
        <f aca="false">ROUNDUP(H19+(H19*K3),0)</f>
        <v>935550</v>
      </c>
      <c r="M27" s="0" t="str">
        <f aca="false">IF(H$3="","-",H$3 &amp; " - Units Req")</f>
        <v>4oz Sachets - Units Req</v>
      </c>
      <c r="N27" s="32" t="n">
        <f aca="false">ROUNDUP(H17+(N3*H17),0)</f>
        <v>7590</v>
      </c>
      <c r="P27" s="0" t="str">
        <f aca="false">IF(H$4="","-",H$4 &amp; " - Units Req")</f>
        <v>4oz Tins - Units Req</v>
      </c>
      <c r="Q27" s="32" t="n">
        <f aca="false">ROUNDUP(H18+(Q3*H18),0)</f>
        <v>6798</v>
      </c>
      <c r="S27" s="8" t="s">
        <v>69</v>
      </c>
      <c r="T27" s="32" t="n">
        <f aca="false">H20+(T3*H20)</f>
        <v>280.5</v>
      </c>
      <c r="V27" s="8" t="s">
        <v>70</v>
      </c>
      <c r="W27" s="32" t="n">
        <f aca="false">H21+(W3*H21)</f>
        <v>0</v>
      </c>
      <c r="Y27" s="8" t="s">
        <v>71</v>
      </c>
      <c r="Z27" s="32" t="n">
        <f aca="false">SUM(IFERROR(K35,0), IFERROR(N35,0), IFERROR(Q35,0), IFERROR(T35,0), IFERROR(W35,0))</f>
        <v>1539560</v>
      </c>
    </row>
    <row r="28" customFormat="false" ht="15" hidden="false" customHeight="false" outlineLevel="0" collapsed="false">
      <c r="B28" s="0" t="str">
        <f aca="false">S28</f>
        <v>Inners - per/ min</v>
      </c>
      <c r="C28" s="5" t="n">
        <f aca="false">T28</f>
        <v>0.8</v>
      </c>
      <c r="D28" s="16"/>
      <c r="J28" s="8" t="s">
        <v>72</v>
      </c>
      <c r="K28" s="32" t="n">
        <f aca="false">K27/28.349523125</f>
        <v>33000.55510193</v>
      </c>
      <c r="M28" s="0" t="str">
        <f aca="false">IF(H$3="","-",H$3 &amp; " -  per/ min")</f>
        <v>4oz Sachets -  per/ min</v>
      </c>
      <c r="N28" s="43" t="n">
        <f aca="false">IF(AND(N5&gt;0,N8&gt;0),
    (1/((1/N5)+(1/N8)))*(1-N17),
    IF(N5&gt;0,
        N5*(1-N17),
        IF(N8&gt;0,
            N8*(1-N17),
            0
        )
    )
)</f>
        <v>9.6</v>
      </c>
      <c r="P28" s="0" t="str">
        <f aca="false">IF(H$4="","-",H$4 &amp; " - per/ min")</f>
        <v>4oz Tins - per/ min</v>
      </c>
      <c r="Q28" s="43" t="n">
        <f aca="false">IF(AND(Q5&gt;0,Q9&gt;0),
    (1/((1/Q5)+(1/Q9)))*(1-Q17),
    IF(Q5&gt;0,
        Q5*(1-Q17),
        IF(Q9&gt;0,
            Q9*(1-Q17),
            0
        )
    )
)</f>
        <v>12</v>
      </c>
      <c r="S28" s="8" t="s">
        <v>73</v>
      </c>
      <c r="T28" s="43" t="n">
        <f aca="false">T5*(-T17)+T5</f>
        <v>0.8</v>
      </c>
      <c r="V28" s="8" t="s">
        <v>74</v>
      </c>
      <c r="W28" s="43" t="n">
        <f aca="false">W5*(-W17)+W5</f>
        <v>0.75</v>
      </c>
      <c r="Y28" s="8" t="s">
        <v>75</v>
      </c>
      <c r="Z28" s="32" t="n">
        <f aca="false">Z27 / 453.59237</f>
        <v>3394.1488036935</v>
      </c>
    </row>
    <row r="29" customFormat="false" ht="15.75" hidden="false" customHeight="true" outlineLevel="0" collapsed="false">
      <c r="B29" s="0" t="str">
        <f aca="false">S29</f>
        <v>Inners - per/ hr</v>
      </c>
      <c r="C29" s="5" t="n">
        <f aca="false">T29</f>
        <v>48</v>
      </c>
      <c r="D29" s="16"/>
      <c r="G29" s="1" t="s">
        <v>66</v>
      </c>
      <c r="H29" s="4" t="s">
        <v>51</v>
      </c>
      <c r="J29" s="8" t="s">
        <v>76</v>
      </c>
      <c r="K29" s="32" t="n">
        <f aca="false">K27/453.59237</f>
        <v>2062.53469387062</v>
      </c>
      <c r="M29" s="0" t="str">
        <f aca="false">IF(H$3="","-",H$3 &amp; " - per/ hr")</f>
        <v>4oz Sachets - per/ hr</v>
      </c>
      <c r="N29" s="32" t="n">
        <f aca="false">N28*60</f>
        <v>576</v>
      </c>
      <c r="P29" s="0" t="str">
        <f aca="false">IF(H$4="","-",H$4 &amp; " - per/ hr")</f>
        <v>4oz Tins - per/ hr</v>
      </c>
      <c r="Q29" s="32" t="n">
        <f aca="false">Q28*60</f>
        <v>720</v>
      </c>
      <c r="S29" s="8" t="s">
        <v>77</v>
      </c>
      <c r="T29" s="32" t="n">
        <f aca="false">T28*60</f>
        <v>48</v>
      </c>
      <c r="V29" s="8" t="s">
        <v>78</v>
      </c>
      <c r="W29" s="32" t="n">
        <f aca="false">W28*60</f>
        <v>45</v>
      </c>
      <c r="Y29" s="8" t="s">
        <v>79</v>
      </c>
      <c r="Z29" s="44" t="n">
        <f aca="false">IF(OR(Z4="", Z4=0), IFERROR(CEILING(Z28/1200,1)+Z18, 0), Z4)</f>
        <v>4</v>
      </c>
    </row>
    <row r="30" customFormat="false" ht="15.75" hidden="false" customHeight="true" outlineLevel="0" collapsed="false">
      <c r="B30" s="0" t="str">
        <f aca="false">S30</f>
        <v>Inners - Total hrs req</v>
      </c>
      <c r="C30" s="5" t="n">
        <f aca="false">T30</f>
        <v>5.84375</v>
      </c>
      <c r="D30" s="16"/>
      <c r="G30" s="8" t="s">
        <v>80</v>
      </c>
      <c r="H30" s="41" t="n">
        <f aca="false">H23+H27</f>
        <v>59.5926560121766</v>
      </c>
      <c r="J30" s="8" t="s">
        <v>81</v>
      </c>
      <c r="K30" s="45" t="n">
        <f aca="false">K6</f>
        <v>1</v>
      </c>
      <c r="M30" s="0" t="str">
        <f aca="false">IF(H$3="","-",H$3 &amp; " - Total hrs req")</f>
        <v>4oz Sachets - Total hrs req</v>
      </c>
      <c r="N30" s="32" t="n">
        <f aca="false">IFERROR(N31/60,0)</f>
        <v>13.1770833333333</v>
      </c>
      <c r="P30" s="0" t="str">
        <f aca="false">IF(H$4="","-",H$4 &amp; " - Total hrs req")</f>
        <v>4oz Tins - Total hrs req</v>
      </c>
      <c r="Q30" s="32" t="n">
        <f aca="false">IFERROR(Q31/60,0)</f>
        <v>9.44166666666667</v>
      </c>
      <c r="S30" s="8" t="s">
        <v>82</v>
      </c>
      <c r="T30" s="44" t="n">
        <f aca="false">IFERROR(T31/60,0)</f>
        <v>5.84375</v>
      </c>
      <c r="V30" s="8" t="s">
        <v>83</v>
      </c>
      <c r="W30" s="32" t="n">
        <f aca="false">IFERROR(W31/60,0)</f>
        <v>0</v>
      </c>
      <c r="Y30" s="0" t="str">
        <f aca="false">IF(H$3="","",H$3 &amp; " - Packaging 1")</f>
        <v>4oz Sachets - Packaging 1</v>
      </c>
      <c r="Z30" s="32" t="n">
        <f aca="false">H17</f>
        <v>6600</v>
      </c>
    </row>
    <row r="31" customFormat="false" ht="15" hidden="false" customHeight="false" outlineLevel="0" collapsed="false">
      <c r="B31" s="0" t="str">
        <f aca="false">S31</f>
        <v>Inners - Total min req</v>
      </c>
      <c r="C31" s="5" t="n">
        <f aca="false">T31</f>
        <v>350.625</v>
      </c>
      <c r="D31" s="16"/>
      <c r="G31" s="8" t="s">
        <v>84</v>
      </c>
      <c r="H31" s="41" t="n">
        <f aca="false">H30/5</f>
        <v>11.9185312024353</v>
      </c>
      <c r="J31" s="8" t="s">
        <v>85</v>
      </c>
      <c r="K31" s="45" t="n">
        <f aca="false">K5</f>
        <v>1</v>
      </c>
      <c r="M31" s="0" t="str">
        <f aca="false">IF(H$3="","-",H$3 &amp; " - Total min req")</f>
        <v>4oz Sachets - Total min req</v>
      </c>
      <c r="N31" s="32" t="n">
        <f aca="false">IFERROR(N27/N28,0)</f>
        <v>790.625</v>
      </c>
      <c r="P31" s="0" t="str">
        <f aca="false">IF(H$4="","-",H$4 &amp; " - Total min req")</f>
        <v>4oz Tins - Total min req</v>
      </c>
      <c r="Q31" s="32" t="n">
        <f aca="false">IFERROR(Q27/Q28,0)</f>
        <v>566.5</v>
      </c>
      <c r="S31" s="8" t="s">
        <v>86</v>
      </c>
      <c r="T31" s="44" t="n">
        <f aca="false">IFERROR(T27/T28,0)</f>
        <v>350.625</v>
      </c>
      <c r="V31" s="8" t="s">
        <v>87</v>
      </c>
      <c r="W31" s="32" t="n">
        <f aca="false">IFERROR(W27/W28,0)</f>
        <v>0</v>
      </c>
      <c r="Y31" s="0" t="str">
        <f aca="false">IF(H$4="","-",H$4 &amp; " - Packaging 2")</f>
        <v>4oz Tins - Packaging 2</v>
      </c>
      <c r="Z31" s="32" t="n">
        <f aca="false">H18</f>
        <v>6600</v>
      </c>
    </row>
    <row r="32" customFormat="false" ht="15" hidden="false" customHeight="false" outlineLevel="0" collapsed="false">
      <c r="B32" s="0" t="str">
        <f aca="false">S32</f>
        <v>Inners - cost/ per min</v>
      </c>
      <c r="C32" s="19" t="n">
        <f aca="false">T32</f>
        <v>0.585</v>
      </c>
      <c r="D32" s="16"/>
      <c r="J32" s="8" t="s">
        <v>88</v>
      </c>
      <c r="K32" s="40" t="n">
        <f aca="false">((K4*K17)+K4)*K5</f>
        <v>243.75</v>
      </c>
      <c r="M32" s="0" t="str">
        <f aca="false">IF(H$3="","-",H$3 &amp; " - cost/ per min")</f>
        <v>4oz Sachets - cost/ per min</v>
      </c>
      <c r="N32" s="40" t="n">
        <f aca="false">IFERROR(N33/N31,0)</f>
        <v>0.585</v>
      </c>
      <c r="P32" s="0" t="str">
        <f aca="false">IF(H$4="","-",H$4 &amp; " - Labor cost/ per min")</f>
        <v>4oz Tins - Labor cost/ per min</v>
      </c>
      <c r="Q32" s="40" t="n">
        <f aca="false">IFERROR(Q33/Q31,0)</f>
        <v>0.585</v>
      </c>
      <c r="S32" s="8" t="s">
        <v>89</v>
      </c>
      <c r="T32" s="40" t="n">
        <f aca="false">IFERROR(T33/T31,0)</f>
        <v>0.585</v>
      </c>
      <c r="V32" s="8" t="s">
        <v>90</v>
      </c>
      <c r="W32" s="40" t="n">
        <f aca="false">IFERROR(W33/W31,0)</f>
        <v>0</v>
      </c>
      <c r="Y32" s="0" t="str">
        <f aca="false">G8</f>
        <v>Units per/ Inner (case pack)</v>
      </c>
      <c r="Z32" s="32" t="n">
        <f aca="false">T27</f>
        <v>280.5</v>
      </c>
    </row>
    <row r="33" customFormat="false" ht="15.75" hidden="false" customHeight="true" outlineLevel="0" collapsed="false">
      <c r="B33" s="0" t="str">
        <f aca="false">S33</f>
        <v>Inners - Labor Cost</v>
      </c>
      <c r="C33" s="42" t="n">
        <f aca="false">T33</f>
        <v>205.115625</v>
      </c>
      <c r="D33" s="6" t="n">
        <f aca="false">T4*T30</f>
        <v>151.9375</v>
      </c>
      <c r="G33" s="1" t="s">
        <v>91</v>
      </c>
      <c r="H33" s="4" t="s">
        <v>92</v>
      </c>
      <c r="J33" s="8" t="s">
        <v>93</v>
      </c>
      <c r="K33" s="40" t="n">
        <f aca="false">(K7+(K7*K18))*K8</f>
        <v>455</v>
      </c>
      <c r="M33" s="0" t="str">
        <f aca="false">IF(H$3="","-",H$3 &amp; " - Total labor")</f>
        <v>4oz Sachets - Total labor</v>
      </c>
      <c r="N33" s="46" t="n">
        <f aca="false">((N30*N4)*N18)+(N4*N30)</f>
        <v>462.515625</v>
      </c>
      <c r="P33" s="0" t="str">
        <f aca="false">IF(H$4="","-",H$4 &amp; " - Total labor")</f>
        <v>4oz Tins - Total labor</v>
      </c>
      <c r="Q33" s="46" t="n">
        <f aca="false">((Q30*Q4)*Q18)+(Q4*Q30)</f>
        <v>331.4025</v>
      </c>
      <c r="S33" s="8" t="s">
        <v>94</v>
      </c>
      <c r="T33" s="46" t="n">
        <f aca="false">((T30*T4)*T18)+(T4*T30)</f>
        <v>205.115625</v>
      </c>
      <c r="V33" s="8" t="s">
        <v>95</v>
      </c>
      <c r="W33" s="46" t="n">
        <f aca="false">((W30*W4)*W18)+(W4*W30)</f>
        <v>0</v>
      </c>
      <c r="Y33" s="8" t="s">
        <v>96</v>
      </c>
      <c r="Z33" s="32" t="n">
        <f aca="false">W27</f>
        <v>0</v>
      </c>
    </row>
    <row r="34" customFormat="false" ht="16.5" hidden="false" customHeight="true" outlineLevel="0" collapsed="false">
      <c r="B34" s="22" t="str">
        <f aca="false">S34</f>
        <v>Inners - Cost per/ inner</v>
      </c>
      <c r="C34" s="23" t="n">
        <f aca="false">T34*T27</f>
        <v>126.225</v>
      </c>
      <c r="D34" s="24" t="n">
        <f aca="false">T6*T27</f>
        <v>56.1</v>
      </c>
      <c r="E34" s="25"/>
      <c r="G34" s="8" t="s">
        <v>97</v>
      </c>
      <c r="H34" s="47" t="n">
        <v>46090</v>
      </c>
      <c r="J34" s="8" t="s">
        <v>98</v>
      </c>
      <c r="K34" s="48" t="n">
        <f aca="false">(K9 + ((1 - K11) * K10 / K27)) * (K19 + 1)</f>
        <v>0.0369094922737307</v>
      </c>
      <c r="M34" s="0" t="str">
        <f aca="false">IF(H$3="","-",H$3 &amp; " - Cost per/ unit")</f>
        <v>4oz Sachets - Cost per/ unit</v>
      </c>
      <c r="N34" s="49" t="n">
        <f aca="false" t="array" ref="N34:N34">SUM((N6:N7)*N19)+SUM(N6:N7)</f>
        <v>0.07875</v>
      </c>
      <c r="P34" s="0" t="str">
        <f aca="false">IF(H$4="","-",H$4 &amp; " - Mtrl cost per/ unit")</f>
        <v>4oz Tins - Mtrl cost per/ unit</v>
      </c>
      <c r="Q34" s="49" t="n">
        <f aca="false" t="array" ref="Q34:Q34">SUM((Q6:Q8)*Q19)+SUM(Q6:Q8)</f>
        <v>1.6875</v>
      </c>
      <c r="S34" s="8" t="s">
        <v>26</v>
      </c>
      <c r="T34" s="49" t="n">
        <f aca="false">(T6*T19)+T6</f>
        <v>0.45</v>
      </c>
      <c r="V34" s="8" t="s">
        <v>27</v>
      </c>
      <c r="W34" s="49" t="n">
        <f aca="false">(W6*W19)+W6</f>
        <v>0.45</v>
      </c>
      <c r="Y34" s="8" t="s">
        <v>99</v>
      </c>
      <c r="Z34" s="43" t="n">
        <f aca="false">(Z3*Z17)+Z3</f>
        <v>490</v>
      </c>
    </row>
    <row r="35" customFormat="false" ht="15" hidden="false" customHeight="false" outlineLevel="0" collapsed="false">
      <c r="B35" s="0" t="str">
        <f aca="false">V27</f>
        <v>Shippers - Packs Req</v>
      </c>
      <c r="C35" s="5" t="n">
        <f aca="false">W27</f>
        <v>0</v>
      </c>
      <c r="D35" s="39"/>
      <c r="E35" s="7" t="n">
        <f aca="false">W3</f>
        <v>0.01</v>
      </c>
      <c r="G35" s="8" t="s">
        <v>100</v>
      </c>
      <c r="H35" s="47" t="n">
        <f aca="false">WORKDAY(H34,ROUNDUP(H30,0))</f>
        <v>46174</v>
      </c>
      <c r="J35" s="8" t="s">
        <v>101</v>
      </c>
      <c r="K35" s="32" t="n">
        <f aca="false">K27</f>
        <v>935550</v>
      </c>
      <c r="M35" s="0" t="str">
        <f aca="false">IF(H$3="","-",H$3 &amp; " - Pkg 1 Total weight (g)")</f>
        <v>4oz Sachets - Pkg 1 Total weight (g)</v>
      </c>
      <c r="N35" s="32" t="n">
        <f aca="false">IFERROR(H17*N9,"")</f>
        <v>10560</v>
      </c>
      <c r="P35" s="0" t="str">
        <f aca="false">IF(H$4="","-",H$4 &amp; " - Pkg 2 Total weight (g)")</f>
        <v>4oz Tins - Pkg 2 Total weight (g)</v>
      </c>
      <c r="Q35" s="32" t="n">
        <f aca="false">IFERROR(H18*Q10,"")</f>
        <v>468600</v>
      </c>
      <c r="S35" s="8" t="s">
        <v>102</v>
      </c>
      <c r="T35" s="32" t="n">
        <f aca="false">IFERROR(T7*H20,"")</f>
        <v>124850</v>
      </c>
      <c r="V35" s="8" t="s">
        <v>103</v>
      </c>
      <c r="W35" s="32" t="n">
        <f aca="false">IFERROR(W7*H21,"")</f>
        <v>0</v>
      </c>
      <c r="Y35" s="8" t="s">
        <v>104</v>
      </c>
      <c r="Z35" s="40" t="n">
        <f aca="false">Z29*Z34</f>
        <v>1960</v>
      </c>
    </row>
    <row r="36" customFormat="false" ht="15" hidden="false" customHeight="false" outlineLevel="0" collapsed="false">
      <c r="B36" s="0" t="str">
        <f aca="false">V28</f>
        <v>Shippers - per/ min</v>
      </c>
      <c r="C36" s="5" t="n">
        <f aca="false">W28</f>
        <v>0.75</v>
      </c>
      <c r="D36" s="16"/>
    </row>
    <row r="37" customFormat="false" ht="15" hidden="false" customHeight="false" outlineLevel="0" collapsed="false">
      <c r="B37" s="0" t="str">
        <f aca="false">V29</f>
        <v>Shippers - per/ hr</v>
      </c>
      <c r="C37" s="5" t="n">
        <f aca="false">W29</f>
        <v>45</v>
      </c>
      <c r="D37" s="16"/>
      <c r="G37" s="50"/>
      <c r="H37" s="51"/>
      <c r="J37" s="8" t="s">
        <v>105</v>
      </c>
      <c r="K37" s="41" t="n">
        <f aca="false">K5*0.2</f>
        <v>0.2</v>
      </c>
      <c r="M37" s="0" t="str">
        <f aca="false">IF(H$3="","-",H$3 &amp; " - Lead Time (days)")</f>
        <v>4oz Sachets - Lead Time (days)</v>
      </c>
      <c r="N37" s="41" t="n">
        <f aca="false">N30 / (N10 * N11)</f>
        <v>0.36101598173516</v>
      </c>
      <c r="P37" s="0" t="str">
        <f aca="false">IF(H$4="","-",H$4 &amp; " - Lead Time (days)")</f>
        <v>4oz Tins - Lead Time (days)</v>
      </c>
      <c r="Q37" s="41" t="n">
        <f aca="false">Q30/(Q12*Q11)</f>
        <v>0.431126331811263</v>
      </c>
      <c r="S37" s="8" t="s">
        <v>106</v>
      </c>
      <c r="T37" s="41" t="n">
        <f aca="false">T30/(T9*T8)</f>
        <v>0.800513698630137</v>
      </c>
      <c r="V37" s="8" t="s">
        <v>107</v>
      </c>
      <c r="W37" s="41" t="n">
        <f aca="false">W30/(W9*W8)</f>
        <v>0</v>
      </c>
      <c r="Y37" s="8" t="s">
        <v>105</v>
      </c>
      <c r="Z37" s="41" t="n">
        <f aca="false">Z29*0.2</f>
        <v>0.8</v>
      </c>
    </row>
    <row r="38" customFormat="false" ht="15.75" hidden="false" customHeight="true" outlineLevel="0" collapsed="false">
      <c r="B38" s="0" t="str">
        <f aca="false">V30</f>
        <v>Shippers - Total hrs req</v>
      </c>
      <c r="C38" s="5" t="n">
        <f aca="false">W30</f>
        <v>0</v>
      </c>
      <c r="D38" s="16"/>
      <c r="G38" s="1" t="s">
        <v>108</v>
      </c>
      <c r="H38" s="4" t="s">
        <v>109</v>
      </c>
      <c r="J38" s="8" t="s">
        <v>110</v>
      </c>
      <c r="K38" s="43" t="n">
        <f aca="false">K37/5</f>
        <v>0.04</v>
      </c>
      <c r="M38" s="0" t="str">
        <f aca="false">IF(H$3="","-",H$3 &amp; " - Lead Time (weeks)")</f>
        <v>4oz Sachets - Lead Time (weeks)</v>
      </c>
      <c r="N38" s="43" t="n">
        <f aca="false">N30/(N11*N10*N12)</f>
        <v>0.0656392694063927</v>
      </c>
      <c r="P38" s="0" t="str">
        <f aca="false">IF(H$4="","-",H$4 &amp; " - Lead Time (weeks)")</f>
        <v>4oz Tins - Lead Time (weeks)</v>
      </c>
      <c r="Q38" s="43" t="n">
        <f aca="false">Q30/(Q12*Q11*Q13)</f>
        <v>0.0862252663622527</v>
      </c>
      <c r="S38" s="8" t="s">
        <v>111</v>
      </c>
      <c r="T38" s="43" t="n">
        <f aca="false">T30/(T9*T8*T10)</f>
        <v>0.160102739726027</v>
      </c>
      <c r="V38" s="8" t="s">
        <v>112</v>
      </c>
      <c r="W38" s="43" t="n">
        <f aca="false">W30/(W9*W8*W10)</f>
        <v>0</v>
      </c>
      <c r="Y38" s="8" t="s">
        <v>110</v>
      </c>
      <c r="Z38" s="43" t="n">
        <f aca="false">Z37/5</f>
        <v>0.16</v>
      </c>
    </row>
    <row r="39" customFormat="false" ht="15.75" hidden="false" customHeight="true" outlineLevel="0" collapsed="false">
      <c r="B39" s="0" t="str">
        <f aca="false">V31</f>
        <v>Shippers - Total min req</v>
      </c>
      <c r="C39" s="5" t="n">
        <f aca="false">W31</f>
        <v>0</v>
      </c>
      <c r="D39" s="16"/>
      <c r="G39" s="8" t="s">
        <v>113</v>
      </c>
      <c r="H39" s="12" t="n">
        <v>4.18</v>
      </c>
      <c r="K39" s="52"/>
    </row>
    <row r="40" customFormat="false" ht="15" hidden="false" customHeight="false" outlineLevel="0" collapsed="false">
      <c r="B40" s="0" t="str">
        <f aca="false">V32</f>
        <v>Shippers - cost/ per min</v>
      </c>
      <c r="C40" s="19" t="n">
        <f aca="false">W32</f>
        <v>0</v>
      </c>
      <c r="D40" s="16"/>
      <c r="G40" s="8" t="s">
        <v>114</v>
      </c>
      <c r="H40" s="48" t="n">
        <f aca="false">H39/16</f>
        <v>0.26125</v>
      </c>
      <c r="Z40" s="53"/>
    </row>
    <row r="41" customFormat="false" ht="15" hidden="false" customHeight="false" outlineLevel="0" collapsed="false">
      <c r="B41" s="0" t="str">
        <f aca="false">V33</f>
        <v>Shippers - Labor Cost</v>
      </c>
      <c r="C41" s="54" t="n">
        <f aca="false">W33</f>
        <v>0</v>
      </c>
      <c r="D41" s="6" t="n">
        <f aca="false">W4*W30</f>
        <v>0</v>
      </c>
      <c r="G41" s="8" t="s">
        <v>115</v>
      </c>
      <c r="H41" s="48" t="n">
        <f aca="false">H39/453</f>
        <v>0.00922737306843267</v>
      </c>
      <c r="J41" s="55"/>
    </row>
    <row r="42" customFormat="false" ht="15.75" hidden="false" customHeight="true" outlineLevel="0" collapsed="false">
      <c r="B42" s="22" t="str">
        <f aca="false">V34</f>
        <v>Shipper - Cost per/ shipper</v>
      </c>
      <c r="C42" s="23" t="n">
        <f aca="false">W34*W27</f>
        <v>0</v>
      </c>
      <c r="D42" s="34" t="n">
        <f aca="false">W6*W27</f>
        <v>0</v>
      </c>
      <c r="E42" s="25"/>
    </row>
    <row r="43" customFormat="false" ht="15.75" hidden="false" customHeight="true" outlineLevel="0" collapsed="false">
      <c r="B43" s="0" t="s">
        <v>79</v>
      </c>
      <c r="C43" s="5" t="n">
        <f aca="false">Z29</f>
        <v>4</v>
      </c>
      <c r="D43" s="16"/>
      <c r="G43" s="1" t="s">
        <v>116</v>
      </c>
      <c r="H43" s="4" t="s">
        <v>109</v>
      </c>
    </row>
    <row r="44" customFormat="false" ht="16.5" hidden="false" customHeight="true" outlineLevel="0" collapsed="false">
      <c r="B44" s="22" t="s">
        <v>104</v>
      </c>
      <c r="C44" s="23" t="n">
        <f aca="false">Z35</f>
        <v>1960</v>
      </c>
      <c r="D44" s="24" t="n">
        <f aca="false">Z3*Z29</f>
        <v>1400</v>
      </c>
      <c r="E44" s="25"/>
      <c r="G44" s="8" t="s">
        <v>117</v>
      </c>
      <c r="H44" s="13" t="n">
        <v>6600</v>
      </c>
    </row>
    <row r="45" customFormat="false" ht="15" hidden="false" customHeight="false" outlineLevel="0" collapsed="false">
      <c r="B45" s="0" t="s">
        <v>43</v>
      </c>
      <c r="C45" s="42" t="n">
        <f aca="false">H10*K6</f>
        <v>1495</v>
      </c>
      <c r="D45" s="56" t="n">
        <f aca="false">H22</f>
        <v>598</v>
      </c>
      <c r="G45" s="8" t="s">
        <v>118</v>
      </c>
      <c r="H45" s="13" t="n">
        <v>24</v>
      </c>
    </row>
    <row r="46" customFormat="false" ht="15" hidden="false" customHeight="false" outlineLevel="0" collapsed="false">
      <c r="G46" s="0" t="s">
        <v>119</v>
      </c>
      <c r="H46" s="57" t="n">
        <f aca="false">H44/H45</f>
        <v>275</v>
      </c>
    </row>
    <row r="48" customFormat="false" ht="15.75" hidden="false" customHeight="true" outlineLevel="0" collapsed="false"/>
    <row r="49" customFormat="false" ht="15.75" hidden="false" customHeight="true" outlineLevel="0" collapsed="false">
      <c r="B49" s="1" t="s">
        <v>120</v>
      </c>
      <c r="C49" s="4" t="s">
        <v>121</v>
      </c>
      <c r="D49" s="4" t="s">
        <v>122</v>
      </c>
      <c r="E49" s="51"/>
      <c r="G49" s="58" t="s">
        <v>123</v>
      </c>
      <c r="H49" s="59" t="s">
        <v>124</v>
      </c>
    </row>
    <row r="50" customFormat="false" ht="15.75" hidden="false" customHeight="true" outlineLevel="0" collapsed="false">
      <c r="B50" s="0" t="s">
        <v>125</v>
      </c>
      <c r="C50" s="60" t="n">
        <f aca="false">C45</f>
        <v>1495</v>
      </c>
      <c r="D50" s="60" t="n">
        <f aca="false">D45</f>
        <v>598</v>
      </c>
      <c r="G50" s="61" t="n">
        <f aca="false">C50-D50</f>
        <v>897</v>
      </c>
      <c r="H50" s="62" t="n">
        <f aca="false">IFERROR((C50-D50)/C50,0)</f>
        <v>0.6</v>
      </c>
    </row>
    <row r="51" customFormat="false" ht="15" hidden="false" customHeight="false" outlineLevel="0" collapsed="false">
      <c r="B51" s="0" t="s">
        <v>126</v>
      </c>
      <c r="C51" s="60" t="n">
        <f aca="false">SUM(C8:C10)</f>
        <v>35229.4254966887</v>
      </c>
      <c r="D51" s="60" t="n">
        <f aca="false">SUM(D8:D10)</f>
        <v>9177.66887417219</v>
      </c>
      <c r="G51" s="61" t="n">
        <f aca="false">C51-D51</f>
        <v>26051.7566225166</v>
      </c>
      <c r="H51" s="62" t="n">
        <f aca="false">IFERROR((C51-D51)/C51,0)</f>
        <v>0.73948854558997</v>
      </c>
    </row>
    <row r="52" customFormat="false" ht="15" hidden="false" customHeight="false" outlineLevel="0" collapsed="false">
      <c r="B52" s="0" t="str">
        <f aca="false">IF(H$3="","",H$3 &amp; " - Total")</f>
        <v>4oz Sachets - Total</v>
      </c>
      <c r="C52" s="60" t="n">
        <f aca="false">SUM(C17:C18)</f>
        <v>1060.228125</v>
      </c>
      <c r="D52" s="60" t="n">
        <f aca="false">SUM(D17:D18)</f>
        <v>608.254166666667</v>
      </c>
      <c r="G52" s="61" t="n">
        <f aca="false">C52-D52</f>
        <v>451.973958333334</v>
      </c>
      <c r="H52" s="62" t="n">
        <f aca="false">IFERROR((C52-D52)/C52,0)</f>
        <v>0.42629878200348</v>
      </c>
    </row>
    <row r="53" customFormat="false" ht="15" hidden="false" customHeight="false" outlineLevel="0" collapsed="false">
      <c r="B53" s="0" t="str">
        <f aca="false">IF(H$4="","-",H$4 &amp; " - Total")</f>
        <v>4oz Tins - Total</v>
      </c>
      <c r="C53" s="63" t="n">
        <f aca="false">SUM(C25:C26)</f>
        <v>11803.0275</v>
      </c>
      <c r="D53" s="60" t="n">
        <f aca="false">SUM(D25:D26)</f>
        <v>5343.98333333333</v>
      </c>
      <c r="G53" s="61" t="n">
        <f aca="false">C53-D53</f>
        <v>6459.04416666667</v>
      </c>
      <c r="H53" s="62" t="n">
        <f aca="false">IFERROR((C53-D53)/C53,0)</f>
        <v>0.547236221102312</v>
      </c>
    </row>
    <row r="54" customFormat="false" ht="15" hidden="false" customHeight="false" outlineLevel="0" collapsed="false">
      <c r="B54" s="0" t="s">
        <v>127</v>
      </c>
      <c r="C54" s="63" t="n">
        <f aca="false">SUM(C33:C34)</f>
        <v>331.340625</v>
      </c>
      <c r="D54" s="60" t="n">
        <f aca="false">SUM(D33:D34)</f>
        <v>208.0375</v>
      </c>
      <c r="G54" s="61" t="n">
        <f aca="false">C54-D54</f>
        <v>123.303125</v>
      </c>
      <c r="H54" s="62" t="n">
        <f aca="false">IFERROR((C54-D54)/C54,0)</f>
        <v>0.372134038800705</v>
      </c>
    </row>
    <row r="55" customFormat="false" ht="15" hidden="false" customHeight="false" outlineLevel="0" collapsed="false">
      <c r="B55" s="0" t="s">
        <v>128</v>
      </c>
      <c r="C55" s="64" t="n">
        <f aca="false">SUM(C41,C42)</f>
        <v>0</v>
      </c>
      <c r="D55" s="60" t="n">
        <f aca="false">SUM(D41:D42)</f>
        <v>0</v>
      </c>
      <c r="G55" s="61" t="n">
        <f aca="false">C55-D55</f>
        <v>0</v>
      </c>
      <c r="H55" s="62" t="n">
        <f aca="false">IFERROR((C55-D55)/C55,0)</f>
        <v>0</v>
      </c>
    </row>
    <row r="56" customFormat="false" ht="15.75" hidden="false" customHeight="true" outlineLevel="0" collapsed="false">
      <c r="B56" s="22" t="s">
        <v>129</v>
      </c>
      <c r="C56" s="65" t="n">
        <f aca="false">C44</f>
        <v>1960</v>
      </c>
      <c r="D56" s="65" t="n">
        <f aca="false">D44</f>
        <v>1400</v>
      </c>
      <c r="G56" s="66" t="n">
        <f aca="false">C56-D56</f>
        <v>560</v>
      </c>
      <c r="H56" s="67" t="n">
        <f aca="false">IFERROR((C56-D56)/C56,0)</f>
        <v>0.285714285714286</v>
      </c>
    </row>
    <row r="57" customFormat="false" ht="15.75" hidden="false" customHeight="true" outlineLevel="0" collapsed="false">
      <c r="B57" s="68" t="s">
        <v>130</v>
      </c>
      <c r="C57" s="69" t="n">
        <f aca="false">SUM(C50:C56)</f>
        <v>51879.0217466887</v>
      </c>
      <c r="D57" s="69" t="n">
        <f aca="false">SUM(D50:D56)</f>
        <v>17335.9438741722</v>
      </c>
      <c r="G57" s="70" t="n">
        <f aca="false">C57-D57</f>
        <v>34543.0778725166</v>
      </c>
      <c r="H57" s="71" t="n">
        <f aca="false">(C57-D57)/C57</f>
        <v>0.665839036849636</v>
      </c>
    </row>
    <row r="58" customFormat="false" ht="15" hidden="false" customHeight="false" outlineLevel="0" collapsed="false">
      <c r="B58" s="68" t="s">
        <v>131</v>
      </c>
      <c r="C58" s="72" t="n">
        <f aca="false">C57/H12</f>
        <v>7.86045784040739</v>
      </c>
      <c r="D58" s="72" t="n">
        <f aca="false">D57/H12</f>
        <v>2.62665816275336</v>
      </c>
    </row>
    <row r="59" customFormat="false" ht="15.75" hidden="false" customHeight="true" outlineLevel="0" collapsed="false"/>
    <row r="60" customFormat="false" ht="15.75" hidden="false" customHeight="true" outlineLevel="0" collapsed="false">
      <c r="B60" s="1" t="s">
        <v>132</v>
      </c>
      <c r="C60" s="4" t="s">
        <v>109</v>
      </c>
      <c r="D60" s="4" t="s">
        <v>133</v>
      </c>
      <c r="G60" s="58" t="s">
        <v>134</v>
      </c>
      <c r="H60" s="59" t="s">
        <v>135</v>
      </c>
    </row>
    <row r="61" customFormat="false" ht="16.5" hidden="false" customHeight="true" outlineLevel="0" collapsed="false">
      <c r="B61" s="73" t="s">
        <v>136</v>
      </c>
      <c r="C61" s="74" t="n">
        <v>5.19</v>
      </c>
      <c r="D61" s="75" t="n">
        <f aca="false">(C61-D58)/C61</f>
        <v>0.493900161319198</v>
      </c>
      <c r="G61" s="19" t="n">
        <f aca="false">C61-D58</f>
        <v>2.56334183724664</v>
      </c>
      <c r="H61" s="76" t="n">
        <f aca="false">D61</f>
        <v>0.493900161319198</v>
      </c>
    </row>
    <row r="62" customFormat="false" ht="15" hidden="false" customHeight="false" outlineLevel="0" collapsed="false">
      <c r="B62" s="77" t="s">
        <v>137</v>
      </c>
      <c r="C62" s="78" t="n">
        <f aca="false">C61*H12</f>
        <v>34254</v>
      </c>
      <c r="D62" s="78" t="n">
        <f aca="false">D57</f>
        <v>17335.9438741722</v>
      </c>
      <c r="G62" s="19" t="n">
        <f aca="false">C62-D62</f>
        <v>16918.0561258278</v>
      </c>
      <c r="H62" s="76" t="n">
        <f aca="false">D61</f>
        <v>0.493900161319198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L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.57"/>
    <col collapsed="false" customWidth="true" hidden="false" outlineLevel="0" max="2" min="2" style="0" width="32.57"/>
    <col collapsed="false" customWidth="true" hidden="false" outlineLevel="0" max="3" min="3" style="0" width="15.85"/>
    <col collapsed="false" customWidth="true" hidden="false" outlineLevel="0" max="4" min="4" style="0" width="19.42"/>
    <col collapsed="false" customWidth="true" hidden="false" outlineLevel="0" max="6" min="5" style="0" width="12"/>
    <col collapsed="false" customWidth="true" hidden="false" outlineLevel="0" max="7" min="7" style="0" width="7"/>
    <col collapsed="false" customWidth="true" hidden="false" outlineLevel="0" max="8" min="8" style="0" width="17.57"/>
    <col collapsed="false" customWidth="true" hidden="false" outlineLevel="0" max="9" min="9" style="0" width="13.42"/>
    <col collapsed="false" customWidth="true" hidden="false" outlineLevel="0" max="11" min="11" style="0" width="10.14"/>
    <col collapsed="false" customWidth="true" hidden="false" outlineLevel="0" max="12" min="12" style="0" width="13.29"/>
    <col collapsed="false" customWidth="true" hidden="false" outlineLevel="0" max="13" min="13" style="0" width="19.42"/>
    <col collapsed="false" customWidth="true" hidden="false" outlineLevel="0" max="14" min="14" style="0" width="15.14"/>
    <col collapsed="false" customWidth="true" hidden="false" outlineLevel="0" max="15" min="15" style="0" width="11.43"/>
    <col collapsed="false" customWidth="true" hidden="false" outlineLevel="0" max="16" min="16" style="0" width="11.57"/>
    <col collapsed="false" customWidth="true" hidden="false" outlineLevel="0" max="17" min="17" style="0" width="11.14"/>
  </cols>
  <sheetData>
    <row r="1" customFormat="false" ht="15.75" hidden="false" customHeight="true" outlineLevel="0" collapsed="false"/>
    <row r="2" customFormat="false" ht="15.75" hidden="false" customHeight="true" outlineLevel="0" collapsed="false">
      <c r="B2" s="1" t="str">
        <f aca="false">'Co Packing Inputs'!B49</f>
        <v>Total Project Costs</v>
      </c>
      <c r="C2" s="4" t="s">
        <v>138</v>
      </c>
      <c r="D2" s="4" t="s">
        <v>139</v>
      </c>
      <c r="E2" s="4" t="s">
        <v>140</v>
      </c>
      <c r="F2" s="4" t="s">
        <v>131</v>
      </c>
      <c r="H2" s="79" t="str">
        <f aca="false">B2</f>
        <v>Total Project Costs</v>
      </c>
      <c r="I2" s="4" t="str">
        <f aca="false">'Co Packing Inputs'!D49</f>
        <v>Our Costs</v>
      </c>
      <c r="J2" s="80" t="s">
        <v>141</v>
      </c>
      <c r="K2" s="81" t="str">
        <f aca="false">'Co Packing Inputs'!H49</f>
        <v>Margin %%</v>
      </c>
      <c r="L2" s="82" t="s">
        <v>142</v>
      </c>
    </row>
    <row r="3" customFormat="false" ht="15.75" hidden="false" customHeight="true" outlineLevel="0" collapsed="false">
      <c r="B3" s="0" t="str">
        <f aca="false">'Co Packing Inputs'!B50</f>
        <v>Project / Line Setup + QA</v>
      </c>
      <c r="C3" s="36" t="n">
        <f aca="false">'Co Packing Inputs'!C6</f>
        <v>1</v>
      </c>
      <c r="D3" s="36" t="n">
        <f aca="false">'Co Packing Inputs'!C6</f>
        <v>1</v>
      </c>
      <c r="E3" s="60" t="n">
        <f aca="false">'Co Packing Inputs'!C50</f>
        <v>1495</v>
      </c>
      <c r="F3" s="60" t="n">
        <f aca="false">IFERROR(E3/D3, "$0.00")</f>
        <v>1495</v>
      </c>
      <c r="H3" s="83" t="str">
        <f aca="false">B3</f>
        <v>Project / Line Setup + QA</v>
      </c>
      <c r="I3" s="60" t="n">
        <f aca="false">'Co Packing Inputs'!D50</f>
        <v>598</v>
      </c>
      <c r="J3" s="60" t="n">
        <f aca="false">IFERROR(I3/D3,0)</f>
        <v>598</v>
      </c>
      <c r="K3" s="84" t="n">
        <f aca="false">'Co Packing Inputs'!H50</f>
        <v>0.6</v>
      </c>
      <c r="L3" s="85" t="n">
        <f aca="false">E3-I3</f>
        <v>897</v>
      </c>
    </row>
    <row r="4" customFormat="false" ht="15" hidden="false" customHeight="false" outlineLevel="0" collapsed="false">
      <c r="B4" s="0" t="str">
        <f aca="false">'Co Packing Inputs'!B51</f>
        <v>Material  - Total</v>
      </c>
      <c r="C4" s="38" t="n">
        <f aca="false">'Co Packing Inputs'!C3</f>
        <v>935550</v>
      </c>
      <c r="D4" s="38" t="n">
        <f aca="false">'Co Packing Inputs'!H19</f>
        <v>748440</v>
      </c>
      <c r="E4" s="60" t="n">
        <f aca="false">'Co Packing Inputs'!C51</f>
        <v>35229.4254966887</v>
      </c>
      <c r="F4" s="60" t="n">
        <f aca="false">IFERROR(E4/D4, "$0.00")</f>
        <v>0.0470704739146608</v>
      </c>
      <c r="H4" s="83" t="str">
        <f aca="false">B4</f>
        <v>Material  - Total</v>
      </c>
      <c r="I4" s="60" t="n">
        <f aca="false">'Co Packing Inputs'!D51</f>
        <v>9177.66887417219</v>
      </c>
      <c r="J4" s="60" t="n">
        <f aca="false">IFERROR(I4/D4,0)</f>
        <v>0.0122623976192777</v>
      </c>
      <c r="K4" s="84" t="n">
        <f aca="false">'Co Packing Inputs'!H51</f>
        <v>0.73948854558997</v>
      </c>
      <c r="L4" s="85" t="n">
        <f aca="false">E4-I4</f>
        <v>26051.7566225166</v>
      </c>
    </row>
    <row r="5" customFormat="false" ht="15" hidden="false" customHeight="false" outlineLevel="0" collapsed="false">
      <c r="B5" s="0" t="str">
        <f aca="false">'Co Packing Inputs'!B52</f>
        <v>4oz Sachets - Total</v>
      </c>
      <c r="C5" s="38" t="n">
        <f aca="false">'Co Packing Inputs'!C11</f>
        <v>7590</v>
      </c>
      <c r="D5" s="38" t="n">
        <f aca="false">'Co Packing Inputs'!H17</f>
        <v>6600</v>
      </c>
      <c r="E5" s="60" t="n">
        <f aca="false">'Co Packing Inputs'!C52</f>
        <v>1060.228125</v>
      </c>
      <c r="F5" s="60" t="n">
        <f aca="false">IFERROR(E5/D5, "$0.00")</f>
        <v>0.160640625</v>
      </c>
      <c r="H5" s="83" t="str">
        <f aca="false">B5</f>
        <v>4oz Sachets - Total</v>
      </c>
      <c r="I5" s="60" t="n">
        <f aca="false">'Co Packing Inputs'!D52</f>
        <v>608.254166666667</v>
      </c>
      <c r="J5" s="60" t="n">
        <f aca="false">IFERROR(I5/D5,0)</f>
        <v>0.0921597222222222</v>
      </c>
      <c r="K5" s="84" t="n">
        <f aca="false">'Co Packing Inputs'!H52</f>
        <v>0.42629878200348</v>
      </c>
      <c r="L5" s="85" t="n">
        <f aca="false">E5-I5</f>
        <v>451.973958333334</v>
      </c>
    </row>
    <row r="6" customFormat="false" ht="15" hidden="false" customHeight="false" outlineLevel="0" collapsed="false">
      <c r="B6" s="0" t="str">
        <f aca="false">'Co Packing Inputs'!B53</f>
        <v>4oz Tins - Total</v>
      </c>
      <c r="C6" s="38" t="n">
        <f aca="false">'Co Packing Inputs'!Q27</f>
        <v>6798</v>
      </c>
      <c r="D6" s="38" t="n">
        <f aca="false">'Co Packing Inputs'!H18</f>
        <v>6600</v>
      </c>
      <c r="E6" s="60" t="n">
        <f aca="false">'Co Packing Inputs'!C53</f>
        <v>11803.0275</v>
      </c>
      <c r="F6" s="60" t="n">
        <f aca="false">IFERROR(E6/D6, "$0.00")</f>
        <v>1.7883375</v>
      </c>
      <c r="H6" s="83" t="str">
        <f aca="false">B6</f>
        <v>4oz Tins - Total</v>
      </c>
      <c r="I6" s="60" t="n">
        <f aca="false">'Co Packing Inputs'!D53</f>
        <v>5343.98333333333</v>
      </c>
      <c r="J6" s="60" t="n">
        <f aca="false">IFERROR(I6/D6,0)</f>
        <v>0.809694444444445</v>
      </c>
      <c r="K6" s="84" t="n">
        <f aca="false">'Co Packing Inputs'!H53</f>
        <v>0.547236221102312</v>
      </c>
      <c r="L6" s="85" t="n">
        <f aca="false">E6-I6</f>
        <v>6459.04416666667</v>
      </c>
    </row>
    <row r="7" customFormat="false" ht="15" hidden="false" customHeight="false" outlineLevel="0" collapsed="false">
      <c r="B7" s="0" t="str">
        <f aca="false">IF('Co Packing Inputs'!H8="",
    'Co Packing Inputs'!B54,
    "Inners (" &amp; 'Co Packing Inputs'!H8 &amp; " units per/ case) - Total")</f>
        <v>Inners (24 units per/ case) - Total</v>
      </c>
      <c r="C7" s="38" t="n">
        <f aca="false">'Co Packing Inputs'!T27</f>
        <v>280.5</v>
      </c>
      <c r="D7" s="38" t="n">
        <f aca="false">'Co Packing Inputs'!H20</f>
        <v>275</v>
      </c>
      <c r="E7" s="60" t="n">
        <f aca="false">'Co Packing Inputs'!C54</f>
        <v>331.340625</v>
      </c>
      <c r="F7" s="60" t="n">
        <f aca="false">IFERROR(E7/D7, "$0.00")</f>
        <v>1.204875</v>
      </c>
      <c r="H7" s="83" t="str">
        <f aca="false">B7</f>
        <v>Inners (24 units per/ case) - Total</v>
      </c>
      <c r="I7" s="60" t="n">
        <f aca="false">'Co Packing Inputs'!D54</f>
        <v>208.0375</v>
      </c>
      <c r="J7" s="60" t="n">
        <f aca="false">IFERROR(I7/D7,0)</f>
        <v>0.7565</v>
      </c>
      <c r="K7" s="84" t="n">
        <f aca="false">'Co Packing Inputs'!H54</f>
        <v>0.372134038800705</v>
      </c>
      <c r="L7" s="85" t="n">
        <f aca="false">E7-I7</f>
        <v>123.303125</v>
      </c>
    </row>
    <row r="8" customFormat="false" ht="15" hidden="false" customHeight="false" outlineLevel="0" collapsed="false">
      <c r="B8" s="0" t="str">
        <f aca="false">IF(OR('Co Packing Inputs'!H9="", 'Co Packing Inputs'!H9=0),
    'Co Packing Inputs'!B55,
    "Master Shippers (" &amp; 'Co Packing Inputs'!H9 &amp; " inners/ per case) - Total")</f>
        <v>Master Shippers - Total</v>
      </c>
      <c r="C8" s="38" t="n">
        <f aca="false">'Co Packing Inputs'!W27</f>
        <v>0</v>
      </c>
      <c r="D8" s="38" t="n">
        <f aca="false">'Co Packing Inputs'!H21</f>
        <v>0</v>
      </c>
      <c r="E8" s="60" t="n">
        <f aca="false">'Co Packing Inputs'!C55</f>
        <v>0</v>
      </c>
      <c r="F8" s="60" t="str">
        <f aca="false">IFERROR(E8/D8, "$0.00")</f>
        <v>$0.00</v>
      </c>
      <c r="H8" s="83" t="str">
        <f aca="false">B8</f>
        <v>Master Shippers - Total</v>
      </c>
      <c r="I8" s="60" t="n">
        <f aca="false">'Co Packing Inputs'!D55</f>
        <v>0</v>
      </c>
      <c r="J8" s="60" t="n">
        <f aca="false">IFERROR(I8/D8,0)</f>
        <v>0</v>
      </c>
      <c r="K8" s="84" t="n">
        <f aca="false">'Co Packing Inputs'!H55</f>
        <v>0</v>
      </c>
      <c r="L8" s="85" t="n">
        <f aca="false">E8-I8</f>
        <v>0</v>
      </c>
    </row>
    <row r="9" customFormat="false" ht="15.75" hidden="false" customHeight="true" outlineLevel="0" collapsed="false">
      <c r="B9" s="22" t="str">
        <f aca="false">'Co Packing Inputs'!B56</f>
        <v>Pallet - Total</v>
      </c>
      <c r="C9" s="25" t="n">
        <f aca="false">'Co Packing Inputs'!K5</f>
        <v>1</v>
      </c>
      <c r="D9" s="86" t="n">
        <f aca="false">'Co Packing Inputs'!Z29</f>
        <v>4</v>
      </c>
      <c r="E9" s="87" t="n">
        <f aca="false">'Co Packing Inputs'!C56</f>
        <v>1960</v>
      </c>
      <c r="F9" s="87" t="n">
        <f aca="false">IFERROR(E9/D9, "$0.00")</f>
        <v>490</v>
      </c>
      <c r="H9" s="88" t="str">
        <f aca="false">B9</f>
        <v>Pallet - Total</v>
      </c>
      <c r="I9" s="87" t="n">
        <f aca="false">'Co Packing Inputs'!D56</f>
        <v>1400</v>
      </c>
      <c r="J9" s="87" t="n">
        <f aca="false">IFERROR(I9/D9,0)</f>
        <v>350</v>
      </c>
      <c r="K9" s="89" t="n">
        <f aca="false">'Co Packing Inputs'!H56</f>
        <v>0.285714285714286</v>
      </c>
      <c r="L9" s="90" t="n">
        <f aca="false">E9-I9</f>
        <v>560</v>
      </c>
    </row>
    <row r="10" customFormat="false" ht="15.75" hidden="false" customHeight="true" outlineLevel="0" collapsed="false">
      <c r="B10" s="77" t="str">
        <f aca="false">'Co Packing Inputs'!B57</f>
        <v>TOTALS</v>
      </c>
      <c r="C10" s="91"/>
      <c r="D10" s="91"/>
      <c r="E10" s="92" t="n">
        <f aca="false">'Co Packing Inputs'!C57</f>
        <v>51879.0217466887</v>
      </c>
      <c r="F10" s="92" t="n">
        <f aca="false">E10/'Co Packing Inputs'!H12</f>
        <v>7.86045784040739</v>
      </c>
      <c r="H10" s="83" t="str">
        <f aca="false">B10</f>
        <v>TOTALS</v>
      </c>
      <c r="I10" s="93" t="n">
        <f aca="false">'Co Packing Inputs'!D57</f>
        <v>17335.9438741722</v>
      </c>
      <c r="J10" s="93" t="n">
        <f aca="false">IFERROR(I10/'Co Packing Inputs'!H12,0)</f>
        <v>2.62665816275336</v>
      </c>
      <c r="K10" s="94" t="n">
        <f aca="false">'Co Packing Inputs'!H57</f>
        <v>0.665839036849636</v>
      </c>
      <c r="L10" s="95" t="n">
        <f aca="false">E10-I10</f>
        <v>34543.0778725166</v>
      </c>
    </row>
    <row r="11" customFormat="false" ht="15.75" hidden="false" customHeight="true" outlineLevel="0" collapsed="false">
      <c r="B11" s="77"/>
      <c r="C11" s="96"/>
      <c r="D11" s="96"/>
      <c r="F11" s="97"/>
      <c r="G11" s="92"/>
      <c r="H11" s="92"/>
    </row>
    <row r="12" customFormat="false" ht="15.75" hidden="false" customHeight="true" outlineLevel="0" collapsed="false">
      <c r="B12" s="98" t="s">
        <v>143</v>
      </c>
      <c r="C12" s="99"/>
      <c r="D12" s="99"/>
      <c r="E12" s="100" t="n">
        <f aca="false">'Co Packing Inputs'!C62</f>
        <v>34254</v>
      </c>
      <c r="F12" s="101" t="n">
        <f aca="false">'Co Packing Inputs'!C61</f>
        <v>5.19</v>
      </c>
      <c r="H12" s="102" t="s">
        <v>144</v>
      </c>
      <c r="I12" s="103" t="n">
        <f aca="false">I10</f>
        <v>17335.9438741722</v>
      </c>
      <c r="J12" s="103" t="n">
        <f aca="false">J10</f>
        <v>2.62665816275336</v>
      </c>
      <c r="K12" s="104" t="n">
        <f aca="false">'Co Packing Inputs'!H61</f>
        <v>0.493900161319198</v>
      </c>
      <c r="L12" s="101" t="n">
        <f aca="false">'Co Packing Inputs'!G62</f>
        <v>16918.0561258278</v>
      </c>
    </row>
    <row r="13" customFormat="false" ht="15" hidden="false" customHeight="false" outlineLevel="0" collapsed="false">
      <c r="B13" s="77"/>
      <c r="C13" s="96"/>
      <c r="D13" s="96"/>
      <c r="F13" s="97"/>
      <c r="G13" s="92"/>
      <c r="H13" s="92"/>
    </row>
    <row r="14" customFormat="false" ht="15.75" hidden="false" customHeight="true" outlineLevel="0" collapsed="false">
      <c r="B14" s="1" t="s">
        <v>91</v>
      </c>
      <c r="C14" s="4" t="s">
        <v>92</v>
      </c>
    </row>
    <row r="15" customFormat="false" ht="15.75" hidden="false" customHeight="true" outlineLevel="0" collapsed="false">
      <c r="B15" s="0" t="s">
        <v>145</v>
      </c>
      <c r="C15" s="105" t="n">
        <f aca="false">'Co Packing Inputs'!H31</f>
        <v>11.9185312024353</v>
      </c>
    </row>
    <row r="16" customFormat="false" ht="15" hidden="false" customHeight="false" outlineLevel="0" collapsed="false">
      <c r="B16" s="0" t="s">
        <v>97</v>
      </c>
      <c r="C16" s="47" t="n">
        <f aca="false">'Co Packing Inputs'!H34</f>
        <v>46090</v>
      </c>
    </row>
    <row r="17" customFormat="false" ht="15" hidden="false" customHeight="false" outlineLevel="0" collapsed="false">
      <c r="B17" s="0" t="s">
        <v>100</v>
      </c>
      <c r="C17" s="47" t="n">
        <f aca="false">'Co Packing Inputs'!H35</f>
        <v>46174</v>
      </c>
    </row>
    <row r="18" customFormat="false" ht="15" hidden="false" customHeight="false" outlineLevel="0" collapsed="false">
      <c r="E18" s="60"/>
      <c r="F18" s="60"/>
    </row>
    <row r="20" customFormat="false" ht="15" hidden="false" customHeight="false" outlineLevel="0" collapsed="false">
      <c r="B20" s="10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2026-05-07T21:13:57Z</dcterms:created>
  <dc:creator>openpyxl</dc:creator>
  <dc:description/>
  <dc:language>en-US</dc:language>
  <cp:lastModifiedBy/>
  <dcterms:modified xsi:type="dcterms:W3CDTF">2026-05-07T21:13:57Z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